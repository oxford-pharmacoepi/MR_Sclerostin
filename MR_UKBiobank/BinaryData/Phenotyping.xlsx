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rtaa\Documents\GitHub\MR_Sclerostin\MR_UKBiobank\BinaryData\"/>
    </mc:Choice>
  </mc:AlternateContent>
  <xr:revisionPtr revIDLastSave="0" documentId="13_ncr:1_{0ED9C928-F7EB-4C9A-B582-E1A0B89C501F}" xr6:coauthVersionLast="47" xr6:coauthVersionMax="47" xr10:uidLastSave="{00000000-0000-0000-0000-000000000000}"/>
  <bookViews>
    <workbookView xWindow="2925" yWindow="3165" windowWidth="21600" windowHeight="12735" activeTab="5" xr2:uid="{00000000-000D-0000-FFFF-FFFF00000000}"/>
  </bookViews>
  <sheets>
    <sheet name="CAD" sheetId="8" r:id="rId1"/>
    <sheet name="Fracture" sheetId="9" r:id="rId2"/>
    <sheet name="Hypertension" sheetId="4" r:id="rId3"/>
    <sheet name="IS" sheetId="6" r:id="rId4"/>
    <sheet name="MI" sheetId="5" r:id="rId5"/>
    <sheet name="T2D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5" l="1"/>
  <c r="H23" i="5"/>
  <c r="H22" i="5"/>
</calcChain>
</file>

<file path=xl/sharedStrings.xml><?xml version="1.0" encoding="utf-8"?>
<sst xmlns="http://schemas.openxmlformats.org/spreadsheetml/2006/main" count="1715" uniqueCount="1163">
  <si>
    <t>HbA1c</t>
  </si>
  <si>
    <t>Renal vascular disease</t>
  </si>
  <si>
    <t>I129</t>
  </si>
  <si>
    <t>K1386</t>
  </si>
  <si>
    <t>Vascular disorders of kidney</t>
  </si>
  <si>
    <t>K138.</t>
  </si>
  <si>
    <t>[X]Hypertension secondary to other renal disorders</t>
  </si>
  <si>
    <t>I151</t>
  </si>
  <si>
    <t>Gyu21</t>
  </si>
  <si>
    <t>[X]Other secondary hypertension</t>
  </si>
  <si>
    <t>I158</t>
  </si>
  <si>
    <t>Gyu20</t>
  </si>
  <si>
    <t>Secondary hypertension NOS</t>
  </si>
  <si>
    <t>I159</t>
  </si>
  <si>
    <t>G24zz</t>
  </si>
  <si>
    <t>Hypertension secondary to drug</t>
  </si>
  <si>
    <t>G24z1</t>
  </si>
  <si>
    <t>Secondary renovascular hypertension NOS</t>
  </si>
  <si>
    <t>I150</t>
  </si>
  <si>
    <t>G24z0</t>
  </si>
  <si>
    <t>G24z.</t>
  </si>
  <si>
    <t>Hypertension secondary to endocrine disorders</t>
  </si>
  <si>
    <t>I152</t>
  </si>
  <si>
    <t>G244.</t>
  </si>
  <si>
    <t>Secondary benign hypertension NOS</t>
  </si>
  <si>
    <t>G241z</t>
  </si>
  <si>
    <t>Secondary benign renovascular hypertension</t>
  </si>
  <si>
    <t>G2410</t>
  </si>
  <si>
    <t>Secondary benign hypertension</t>
  </si>
  <si>
    <t>G241.</t>
  </si>
  <si>
    <t>Secondary malignant hypertension NOS</t>
  </si>
  <si>
    <t>G240z</t>
  </si>
  <si>
    <t>Secondary malignant renovascular hypertension</t>
  </si>
  <si>
    <t>G2400</t>
  </si>
  <si>
    <t>Secondary malignant hypertension</t>
  </si>
  <si>
    <t>G240.</t>
  </si>
  <si>
    <t>Secondary hypertension</t>
  </si>
  <si>
    <t>G24..</t>
  </si>
  <si>
    <t>Hypertensive heart and renal disease NOS</t>
  </si>
  <si>
    <t>I139</t>
  </si>
  <si>
    <t>G23z.</t>
  </si>
  <si>
    <t>Hypertensive heart and renal disease with both (congestive) heart failure and renal failure</t>
  </si>
  <si>
    <t>I132</t>
  </si>
  <si>
    <t>G234.</t>
  </si>
  <si>
    <t>Hypertensive heart and renal disease with renal failure</t>
  </si>
  <si>
    <t>I131</t>
  </si>
  <si>
    <t>G233.</t>
  </si>
  <si>
    <t>Hypertensive heart and renal disease with (congestive) heart failure</t>
  </si>
  <si>
    <t>I130</t>
  </si>
  <si>
    <t>G232.</t>
  </si>
  <si>
    <t>Benign hypertensive heart and renal disease</t>
  </si>
  <si>
    <t>G231.</t>
  </si>
  <si>
    <t>Malignant hypertensive heart and renal disease</t>
  </si>
  <si>
    <t>G230.</t>
  </si>
  <si>
    <t>Hypertensive heart and renal disease</t>
  </si>
  <si>
    <t>G23..</t>
  </si>
  <si>
    <t>Hypertensive renal disease NOS</t>
  </si>
  <si>
    <t>G22z.</t>
  </si>
  <si>
    <t>Hypertensive renal disease with renal failure</t>
  </si>
  <si>
    <t>I120</t>
  </si>
  <si>
    <t>G222.</t>
  </si>
  <si>
    <t>Benign hypertensive renal disease</t>
  </si>
  <si>
    <t>G221.</t>
  </si>
  <si>
    <t>Malignant hypertensive renal disease</t>
  </si>
  <si>
    <t>G220.</t>
  </si>
  <si>
    <t>Hypertensive renal disease</t>
  </si>
  <si>
    <t>G22..</t>
  </si>
  <si>
    <t>Hypertensive heart disease NOS</t>
  </si>
  <si>
    <t>I119</t>
  </si>
  <si>
    <t>G21zz</t>
  </si>
  <si>
    <t>Hypertensive heart disease NOS with congestive cardiac failure</t>
  </si>
  <si>
    <t>I110</t>
  </si>
  <si>
    <t>G21z1</t>
  </si>
  <si>
    <t>Hypertensive heart disease NOS without congestive cardic failure</t>
  </si>
  <si>
    <t>G21z0</t>
  </si>
  <si>
    <t>G21z.</t>
  </si>
  <si>
    <t>Benign hypertensive heart disease NOS</t>
  </si>
  <si>
    <t>G211z</t>
  </si>
  <si>
    <t>Benign hypertensive heart disease with congestive cardiac failure</t>
  </si>
  <si>
    <t>G2111</t>
  </si>
  <si>
    <t>Benign hypertensive heart disease without congestive cardiac failure</t>
  </si>
  <si>
    <t>G2110</t>
  </si>
  <si>
    <t>Benign hypertensive heart disease</t>
  </si>
  <si>
    <t>G211.</t>
  </si>
  <si>
    <t>Malignant hypertensive heart disease NOS</t>
  </si>
  <si>
    <t>G210z</t>
  </si>
  <si>
    <t>Malignant hypertensive heart disease with congestive cardiac failure</t>
  </si>
  <si>
    <t>G2101</t>
  </si>
  <si>
    <t>Malignant hypertensive heart disease without congestive cardiac failure</t>
  </si>
  <si>
    <t>G2100</t>
  </si>
  <si>
    <t>Malignant hypertensive heart disease</t>
  </si>
  <si>
    <t>G210.</t>
  </si>
  <si>
    <t>Hypertensive heart disease</t>
  </si>
  <si>
    <t>G21..</t>
  </si>
  <si>
    <t>Description</t>
  </si>
  <si>
    <t>Code</t>
  </si>
  <si>
    <t>Read 2 code</t>
  </si>
  <si>
    <t>Secondary hypertension, unspecified</t>
  </si>
  <si>
    <t>Other secondary hypertension</t>
  </si>
  <si>
    <t>Hypertension secondary to other renal disorders</t>
  </si>
  <si>
    <t>Renovascular hypertension</t>
  </si>
  <si>
    <t>I15</t>
  </si>
  <si>
    <t>Hypertensive heart and renal disease, unspecified</t>
  </si>
  <si>
    <t>I13</t>
  </si>
  <si>
    <t>Hypertensive renal disease without renal failure</t>
  </si>
  <si>
    <t xml:space="preserve">I120 </t>
  </si>
  <si>
    <t>I12</t>
  </si>
  <si>
    <t>Hypertensive heart disease without (congestive) heart failure</t>
  </si>
  <si>
    <t>Hypertensive heart disease with (congestive) heart failure</t>
  </si>
  <si>
    <t>I11</t>
  </si>
  <si>
    <t>Essential (primary) hypertension</t>
  </si>
  <si>
    <t>I10</t>
  </si>
  <si>
    <t>Non-cancer illness code, self-reported - Hypertension</t>
  </si>
  <si>
    <t>Field</t>
  </si>
  <si>
    <t>Age heart attack diagnosed</t>
  </si>
  <si>
    <t>Non-cancer illness code, self-reported - Heart attack/Myocardial infarction</t>
  </si>
  <si>
    <t>I21</t>
  </si>
  <si>
    <t>Acute myocardial infarction</t>
  </si>
  <si>
    <t>I210</t>
  </si>
  <si>
    <t>Acute transmural myocardial infarction of anterior wall</t>
  </si>
  <si>
    <t>I211</t>
  </si>
  <si>
    <t>Acute transmural myocardial infarction of inferior wall</t>
  </si>
  <si>
    <t>I212</t>
  </si>
  <si>
    <t>Acute transmural myocardial infarction of other sites</t>
  </si>
  <si>
    <t>I213</t>
  </si>
  <si>
    <t>Acute transmural myocardial infarction of unspecified site</t>
  </si>
  <si>
    <t>I214</t>
  </si>
  <si>
    <t>Acute subendocardial myocardial infarction</t>
  </si>
  <si>
    <t>I219</t>
  </si>
  <si>
    <t>Acute myocardial infarction, unspecified</t>
  </si>
  <si>
    <t>I22</t>
  </si>
  <si>
    <t>Subsequent myocardial infarction</t>
  </si>
  <si>
    <t>I220</t>
  </si>
  <si>
    <t>Subsequent myocardial infarction of anterior wall</t>
  </si>
  <si>
    <t>I221</t>
  </si>
  <si>
    <t>Subsequent myocardial infarction of inferior wall</t>
  </si>
  <si>
    <t>I228</t>
  </si>
  <si>
    <t>Subsequent myocardial infarction of other sites</t>
  </si>
  <si>
    <t>I229</t>
  </si>
  <si>
    <t>Subsequent myocardial infarction of unspecified site</t>
  </si>
  <si>
    <t>I23</t>
  </si>
  <si>
    <t>Certain current complications following acute myocardial infarction</t>
  </si>
  <si>
    <t>I230</t>
  </si>
  <si>
    <t>Haemopericardium as current complication following acute myocardial infarction</t>
  </si>
  <si>
    <t>I231</t>
  </si>
  <si>
    <t>Atrial septal defect as current complication following acute myocardial infarction</t>
  </si>
  <si>
    <t>I232</t>
  </si>
  <si>
    <t>Ventricular septal defect as current complication following acute myocardial infarction</t>
  </si>
  <si>
    <t>I233</t>
  </si>
  <si>
    <t>Rupture of cardiac wall without haemopericardium as current complication following acute myocardial infarction</t>
  </si>
  <si>
    <t>I234</t>
  </si>
  <si>
    <t>Rupture of chordae tendineae as current complication following acute myocardial infarction</t>
  </si>
  <si>
    <t>I235</t>
  </si>
  <si>
    <t>Rupture of papillary muscle as current complication following acute myocardial infarction</t>
  </si>
  <si>
    <t>I236</t>
  </si>
  <si>
    <t>Thrombosis of atrium, auricular appendage, and ventricle as current complications following acute myocardial infarction</t>
  </si>
  <si>
    <t>I238</t>
  </si>
  <si>
    <t>Other current complications following acute myocardial infarction</t>
  </si>
  <si>
    <t>G300.</t>
  </si>
  <si>
    <t>Acute anterolateral infarction</t>
  </si>
  <si>
    <t>G301.</t>
  </si>
  <si>
    <t>Other specified anterior myocardial infarction</t>
  </si>
  <si>
    <t>G3010</t>
  </si>
  <si>
    <t>Acute anteroapical infarction</t>
  </si>
  <si>
    <t>G3011</t>
  </si>
  <si>
    <t>Acute anteroseptal infarction</t>
  </si>
  <si>
    <t>G301z</t>
  </si>
  <si>
    <t>Anterior myocardial infarction NOS</t>
  </si>
  <si>
    <t>G302.</t>
  </si>
  <si>
    <t>Acute inferolateral infarction</t>
  </si>
  <si>
    <t>G303.</t>
  </si>
  <si>
    <t>Acute inferoposterior infarction</t>
  </si>
  <si>
    <t>G304.</t>
  </si>
  <si>
    <t>Posterior myocardial infarction NOS</t>
  </si>
  <si>
    <t>G305.</t>
  </si>
  <si>
    <t>Lateral myocardial infarction NOS</t>
  </si>
  <si>
    <t>G306.</t>
  </si>
  <si>
    <t>True posterior myocardial infarction</t>
  </si>
  <si>
    <t>G307.</t>
  </si>
  <si>
    <t>Acute subendocardial infarction</t>
  </si>
  <si>
    <t>G3070</t>
  </si>
  <si>
    <t>Acute non-Q wave infarction</t>
  </si>
  <si>
    <t>G3071</t>
  </si>
  <si>
    <t>Acute non-ST segment elevation myocardial infarction</t>
  </si>
  <si>
    <t>G308.</t>
  </si>
  <si>
    <t>Inferior myocardial infarction NOS</t>
  </si>
  <si>
    <t>G309.</t>
  </si>
  <si>
    <t>Acute Q-wave infarct</t>
  </si>
  <si>
    <t>G30A.</t>
  </si>
  <si>
    <t>Mural thrombosis</t>
  </si>
  <si>
    <t>G30B.</t>
  </si>
  <si>
    <t>Acute posterolateral myocardial infarction</t>
  </si>
  <si>
    <t>G30X.</t>
  </si>
  <si>
    <t>G30X0</t>
  </si>
  <si>
    <t>Acute ST segment elevation myocardial infarction</t>
  </si>
  <si>
    <t>G30y.</t>
  </si>
  <si>
    <t>Other acute myocardial infarction</t>
  </si>
  <si>
    <t>G30y0</t>
  </si>
  <si>
    <t>Acute atrial infarction</t>
  </si>
  <si>
    <t>G30y1</t>
  </si>
  <si>
    <t>Acute papillary muscle infarction</t>
  </si>
  <si>
    <t>G30y2</t>
  </si>
  <si>
    <t>Acute septal infarction</t>
  </si>
  <si>
    <t>G30yz</t>
  </si>
  <si>
    <t>Other acute myocardial infarction NOS</t>
  </si>
  <si>
    <t>G30z.</t>
  </si>
  <si>
    <t>Acute myocardial infarction NOS</t>
  </si>
  <si>
    <t>G35..</t>
  </si>
  <si>
    <t>G350.</t>
  </si>
  <si>
    <t>G351.</t>
  </si>
  <si>
    <t>G353.</t>
  </si>
  <si>
    <t>G35X.</t>
  </si>
  <si>
    <t>G36..</t>
  </si>
  <si>
    <t>G360.</t>
  </si>
  <si>
    <t>G361.</t>
  </si>
  <si>
    <t>G362.</t>
  </si>
  <si>
    <t>G363.</t>
  </si>
  <si>
    <t>G364.</t>
  </si>
  <si>
    <t>Rupture of chordae tendinae as current complication following acute myocardial infarction</t>
  </si>
  <si>
    <t>G365.</t>
  </si>
  <si>
    <t>G366.</t>
  </si>
  <si>
    <t>G38..</t>
  </si>
  <si>
    <t>Postoperative myocardial infarction</t>
  </si>
  <si>
    <t>G380.</t>
  </si>
  <si>
    <t>Postoperative transmural myocardial infarction of anterior wall</t>
  </si>
  <si>
    <t>G381.</t>
  </si>
  <si>
    <t>Postoperative transmural myocardial infarction of inferior wall</t>
  </si>
  <si>
    <t>G382.</t>
  </si>
  <si>
    <t>Postoperative transmural myocardial infarction of other sites</t>
  </si>
  <si>
    <t>G383.</t>
  </si>
  <si>
    <t>Postoperative transmural myocardial infarction of unspecified site</t>
  </si>
  <si>
    <t>G384.</t>
  </si>
  <si>
    <t>Postoperative subendocardial myocardial infarction</t>
  </si>
  <si>
    <t>G38z.</t>
  </si>
  <si>
    <t>Postoperative myocardial infarction, unspecified</t>
  </si>
  <si>
    <t>G501.</t>
  </si>
  <si>
    <t>Post infarction pericarditis</t>
  </si>
  <si>
    <t>Gyu31</t>
  </si>
  <si>
    <t>[X]Other current complications following acute myocardial infarction</t>
  </si>
  <si>
    <t>Gyu34</t>
  </si>
  <si>
    <t>[X]Acute transmural myocardial infarction of unspecified site</t>
  </si>
  <si>
    <t>Gyu35</t>
  </si>
  <si>
    <t>[X]Subsequent myocardial infarction of other sites</t>
  </si>
  <si>
    <t>Gyu36</t>
  </si>
  <si>
    <t>[X]Subsequent myocardial infarction of unspecified site</t>
  </si>
  <si>
    <t>Ischaemic stroke</t>
  </si>
  <si>
    <t>I63</t>
  </si>
  <si>
    <t>I63 Cerebral infarction</t>
  </si>
  <si>
    <t>I630</t>
  </si>
  <si>
    <t>I63.0 Cerebral infarction due to thrombosis of precerebral arteries</t>
  </si>
  <si>
    <t>I631</t>
  </si>
  <si>
    <t>I63.1 Cerebral infarction due to embolism of precerebral arteries</t>
  </si>
  <si>
    <t>I632</t>
  </si>
  <si>
    <t>I63.2 Cerebral infarction due to unspecified occlusion or stenosis of precerebral arteries</t>
  </si>
  <si>
    <t>I633</t>
  </si>
  <si>
    <t>I63.3 Cerebral infarction due to thrombosis of cerebral arteries</t>
  </si>
  <si>
    <t>I634</t>
  </si>
  <si>
    <t>I63.4 Cerebral infarction due to embolism of cerebral arteries</t>
  </si>
  <si>
    <t>I635</t>
  </si>
  <si>
    <t>I63.5 Cerebral infarction due to unspecified occlusion or stenosis of cerebral arteries</t>
  </si>
  <si>
    <t>I636</t>
  </si>
  <si>
    <t>I63.6 Cerebral infarction due to cerebral venous thrombosis, nonpyogenic</t>
  </si>
  <si>
    <t>I638</t>
  </si>
  <si>
    <t>I63.8 Other cerebral infarction</t>
  </si>
  <si>
    <t>I639</t>
  </si>
  <si>
    <t>I63.9 Cerebral infarction, unspecified</t>
  </si>
  <si>
    <t>G63y0</t>
  </si>
  <si>
    <t>Cerebral infarct due to thrombosis of precerebral arteries</t>
  </si>
  <si>
    <t>G63y1</t>
  </si>
  <si>
    <t>Cerebral infarction due to embolism of precerebral arteries</t>
  </si>
  <si>
    <t>G6400</t>
  </si>
  <si>
    <t>Cerebral infarction due to thrombosis of cerebral arteries</t>
  </si>
  <si>
    <t>G6410</t>
  </si>
  <si>
    <t>Cerebral infarction due to embolism of cerebral arteries</t>
  </si>
  <si>
    <t>G64z.</t>
  </si>
  <si>
    <t>Cerebral infarction NOS</t>
  </si>
  <si>
    <t>G64z0</t>
  </si>
  <si>
    <t>Brainstem infarction</t>
  </si>
  <si>
    <t>G64z2</t>
  </si>
  <si>
    <t>Left sided cerebral infarction</t>
  </si>
  <si>
    <t>G64z3</t>
  </si>
  <si>
    <t>Right sided cerebral infarction</t>
  </si>
  <si>
    <t>G64z4</t>
  </si>
  <si>
    <t>Infarction of basal ganglia</t>
  </si>
  <si>
    <t>G6760</t>
  </si>
  <si>
    <t>Cerebral infarction due to cerebral venous thrombosis, nonpyogenic</t>
  </si>
  <si>
    <t>G6W..</t>
  </si>
  <si>
    <t>Cerebral infarction due to unspecified occlusion or stenosis of precerebral arteries</t>
  </si>
  <si>
    <t>G6X..</t>
  </si>
  <si>
    <t>Cerebral infarction due to unspecified occlusion or stenosis of cerebral arteries</t>
  </si>
  <si>
    <t>Gyu63</t>
  </si>
  <si>
    <t>[X]Cerebral infarction due to unspecified occlusion or stenosis of cerebral arteries</t>
  </si>
  <si>
    <t>Gyu64</t>
  </si>
  <si>
    <t>[X]Other cerebral infarction</t>
  </si>
  <si>
    <t>Gyu6G</t>
  </si>
  <si>
    <t>[X]Cerebral infarction due to unspecified occlusion or stenosis of precerebral arteries</t>
  </si>
  <si>
    <t>Diabetes diagnosed by a doctor</t>
  </si>
  <si>
    <t>Non-cancer illness code, self-reported - Type 2 diabetes</t>
  </si>
  <si>
    <t>Glipizide</t>
  </si>
  <si>
    <t>Tolazamide</t>
  </si>
  <si>
    <t>Tolbutamide</t>
  </si>
  <si>
    <t>Glucophage</t>
  </si>
  <si>
    <t>Chlorpropamide)</t>
  </si>
  <si>
    <t>Glibenclamide</t>
  </si>
  <si>
    <t>Gliclazide</t>
  </si>
  <si>
    <t>Rosiglitazone/Metformin</t>
  </si>
  <si>
    <t>Pioglitazone</t>
  </si>
  <si>
    <t>Acarbose</t>
  </si>
  <si>
    <t>Repaglinide</t>
  </si>
  <si>
    <t>Glimepiride</t>
  </si>
  <si>
    <r>
      <rPr>
        <sz val="10"/>
        <color rgb="FF000000"/>
        <rFont val="Arial"/>
        <family val="2"/>
        <charset val="1"/>
      </rPr>
      <t>G</t>
    </r>
    <r>
      <rPr>
        <sz val="11"/>
        <color theme="1"/>
        <rFont val="Calibri"/>
        <family val="2"/>
        <scheme val="minor"/>
      </rPr>
      <t>libenese</t>
    </r>
  </si>
  <si>
    <t>Minodiab</t>
  </si>
  <si>
    <t>Gliquidone</t>
  </si>
  <si>
    <t>Glurenorm</t>
  </si>
  <si>
    <t>Tolanase</t>
  </si>
  <si>
    <t xml:space="preserve">Glyconon </t>
  </si>
  <si>
    <t>Rastinon</t>
  </si>
  <si>
    <t>Orabet</t>
  </si>
  <si>
    <t>Diabinese</t>
  </si>
  <si>
    <t>Glymese</t>
  </si>
  <si>
    <t>Daonil</t>
  </si>
  <si>
    <t>Semi-Daonil</t>
  </si>
  <si>
    <t>Euglucon</t>
  </si>
  <si>
    <t>Malix</t>
  </si>
  <si>
    <t>Diabetamide</t>
  </si>
  <si>
    <t>Calabren</t>
  </si>
  <si>
    <t>Diamicron</t>
  </si>
  <si>
    <t xml:space="preserve">Actos </t>
  </si>
  <si>
    <t>Glucobay</t>
  </si>
  <si>
    <t>Novonorm</t>
  </si>
  <si>
    <t>Glipizide product</t>
  </si>
  <si>
    <t>HbA1c greater than 48 mmol/mol is diagnosed as diabetes</t>
  </si>
  <si>
    <t>E11</t>
  </si>
  <si>
    <t>Non-insulin-dependent diabetes mellitus</t>
  </si>
  <si>
    <t>E110</t>
  </si>
  <si>
    <t>With coma</t>
  </si>
  <si>
    <t>E111</t>
  </si>
  <si>
    <t>With ketoacidosis</t>
  </si>
  <si>
    <t>E112</t>
  </si>
  <si>
    <t>With renal complications</t>
  </si>
  <si>
    <t>E113</t>
  </si>
  <si>
    <t>With ophthalmic complications</t>
  </si>
  <si>
    <t>E114</t>
  </si>
  <si>
    <t>With neurological complications</t>
  </si>
  <si>
    <t>E115</t>
  </si>
  <si>
    <t>With peripheral circulatory complications</t>
  </si>
  <si>
    <t>E116</t>
  </si>
  <si>
    <t>With other specified complications</t>
  </si>
  <si>
    <t>E117</t>
  </si>
  <si>
    <t>With multiple complications</t>
  </si>
  <si>
    <t>E118</t>
  </si>
  <si>
    <t>With unspecified complications</t>
  </si>
  <si>
    <t>E119</t>
  </si>
  <si>
    <t>Without complications</t>
  </si>
  <si>
    <t>C109.</t>
  </si>
  <si>
    <t>Type 2 diabetes mellitus</t>
  </si>
  <si>
    <t>C1001</t>
  </si>
  <si>
    <t>Diabetes mellitus, adult onset, with no mention of complication</t>
  </si>
  <si>
    <t>C1011</t>
  </si>
  <si>
    <t>Diabetes mellitus, adult onset, with ketoacidosis</t>
  </si>
  <si>
    <t>C1021</t>
  </si>
  <si>
    <t>Diabetes mellitus, adult onset, with hyperosmolar coma</t>
  </si>
  <si>
    <t>C1031</t>
  </si>
  <si>
    <t>Diabetes mellitus, adult onset, with ketoacidotic coma</t>
  </si>
  <si>
    <t>C1071</t>
  </si>
  <si>
    <t>Diabetes mellitus, adult onset, with peripheral circulatory disorder</t>
  </si>
  <si>
    <t>C1072</t>
  </si>
  <si>
    <t>Diabetes mellitus, adult with gangrene</t>
  </si>
  <si>
    <t>C1074</t>
  </si>
  <si>
    <t>NIDDM with peripheral circulatory disorder</t>
  </si>
  <si>
    <t>C1091</t>
  </si>
  <si>
    <t>Non-insulin-dependent diabetes mellitus with ophthalmic complications</t>
  </si>
  <si>
    <t>C1093</t>
  </si>
  <si>
    <t>Non-insulin-dependent diabetes mellitus with multiple complications</t>
  </si>
  <si>
    <t>C1094</t>
  </si>
  <si>
    <t>Non-insulin dependent diabetes mellitus with ulcer</t>
  </si>
  <si>
    <t>C1095</t>
  </si>
  <si>
    <t>Non-insulin dependent diabetes mellitus with gangrene</t>
  </si>
  <si>
    <t>C1097</t>
  </si>
  <si>
    <t>Non-insulin dependent diabetes mellitus - poor control</t>
  </si>
  <si>
    <t>C1099</t>
  </si>
  <si>
    <t>Non-insulin-dependent diabetes mellitus without complication</t>
  </si>
  <si>
    <t>C109D</t>
  </si>
  <si>
    <t>Non-insulin dependent diabetes mellitus with hypoglycaemic coma</t>
  </si>
  <si>
    <t>C109J</t>
  </si>
  <si>
    <t>Insulin treated Type 2 diabetes mellitus</t>
  </si>
  <si>
    <t>C109K</t>
  </si>
  <si>
    <t>Hyperosmolar non-ketotic state in type 2 diabetes mellitus</t>
  </si>
  <si>
    <t>C10F3</t>
  </si>
  <si>
    <t>Type 2 diabetes mellitus with multiple complications</t>
  </si>
  <si>
    <t>C10F4</t>
  </si>
  <si>
    <t>Type 2 diabetes mellitus with ulcer</t>
  </si>
  <si>
    <t>C10F5</t>
  </si>
  <si>
    <t>Type 2 diabetes mellitus with gangrene</t>
  </si>
  <si>
    <t>C10F7</t>
  </si>
  <si>
    <t>Type 2 diabetes mellitus - poor control</t>
  </si>
  <si>
    <t>C10F8</t>
  </si>
  <si>
    <t>Reaven's syndrome</t>
  </si>
  <si>
    <t>C10F9</t>
  </si>
  <si>
    <t>Type 2 diabetes mellitus without complication</t>
  </si>
  <si>
    <t>C10FD</t>
  </si>
  <si>
    <t>Type 2 diabetes mellitus with hypoglycaemic coma</t>
  </si>
  <si>
    <t>C10FJ</t>
  </si>
  <si>
    <t>C10FK</t>
  </si>
  <si>
    <t>C10FN</t>
  </si>
  <si>
    <t>Type 2 diabetes mellitus with ketoacidosis</t>
  </si>
  <si>
    <t>C10FP</t>
  </si>
  <si>
    <t>Type 2 diabetes mellitus with ketoacidotic coma</t>
  </si>
  <si>
    <t>C10FS</t>
  </si>
  <si>
    <t>Maternally inherited diabetes mellitus</t>
  </si>
  <si>
    <t>C10P1</t>
  </si>
  <si>
    <t>Type II diabetes mellitus in remission</t>
  </si>
  <si>
    <t>C10Q.</t>
  </si>
  <si>
    <t>Maturity onset diabetes of the young type 5</t>
  </si>
  <si>
    <t>C10y1</t>
  </si>
  <si>
    <t>Diabetes mellitus, adult onset, with other specified manifestation</t>
  </si>
  <si>
    <t>C10z1</t>
  </si>
  <si>
    <t>Diabetes mellitus, adult onset, with unspecified complication</t>
  </si>
  <si>
    <t>f36..</t>
  </si>
  <si>
    <t>Drugs</t>
  </si>
  <si>
    <t>f361.</t>
  </si>
  <si>
    <t>5mg tablets</t>
  </si>
  <si>
    <t>f36y.</t>
  </si>
  <si>
    <t>*5mg tablets</t>
  </si>
  <si>
    <t>f36z.</t>
  </si>
  <si>
    <t>2.5mg tablets</t>
  </si>
  <si>
    <t>f39..</t>
  </si>
  <si>
    <t>f39y.</t>
  </si>
  <si>
    <t>100mg tablets</t>
  </si>
  <si>
    <t>f39z.</t>
  </si>
  <si>
    <t>250mg tablets</t>
  </si>
  <si>
    <t>f3a..</t>
  </si>
  <si>
    <t>f3a1.</t>
  </si>
  <si>
    <t>500mg tablets</t>
  </si>
  <si>
    <t>f411.</t>
  </si>
  <si>
    <t>f412.</t>
  </si>
  <si>
    <t>850mg tablets</t>
  </si>
  <si>
    <t>f417.</t>
  </si>
  <si>
    <t>SR 500mg m/r tablets</t>
  </si>
  <si>
    <t>f419.</t>
  </si>
  <si>
    <t>SR 750mg m/r tablets</t>
  </si>
  <si>
    <t>f41A.</t>
  </si>
  <si>
    <t>SR 1000mg m/r tablets</t>
  </si>
  <si>
    <t>f41C.</t>
  </si>
  <si>
    <t>500mg/sachet oral powder</t>
  </si>
  <si>
    <t>f41D.</t>
  </si>
  <si>
    <t>1000mg/sachet oral powder</t>
  </si>
  <si>
    <t>f32..</t>
  </si>
  <si>
    <t>Chlorpropamide</t>
  </si>
  <si>
    <t>f321.</t>
  </si>
  <si>
    <t>100ma tablets</t>
  </si>
  <si>
    <t>f322.</t>
  </si>
  <si>
    <t>f33..</t>
  </si>
  <si>
    <t>f331.</t>
  </si>
  <si>
    <t>f332.</t>
  </si>
  <si>
    <t>f35..</t>
  </si>
  <si>
    <t>f35w.</t>
  </si>
  <si>
    <t>60mg m/r tablets</t>
  </si>
  <si>
    <t>f35x.</t>
  </si>
  <si>
    <t>40mg tablets</t>
  </si>
  <si>
    <t>f35y.</t>
  </si>
  <si>
    <t>30mg m/r tablets</t>
  </si>
  <si>
    <t>f35z.</t>
  </si>
  <si>
    <t>80mg tablets</t>
  </si>
  <si>
    <t>ft7..</t>
  </si>
  <si>
    <t>Metformin</t>
  </si>
  <si>
    <t>Metformin + Pioglitazone</t>
  </si>
  <si>
    <t>ft7z.</t>
  </si>
  <si>
    <t>Metformin 850mg/Pioglitazone 15mg tablets</t>
  </si>
  <si>
    <t>ftb..</t>
  </si>
  <si>
    <t>Metformin + Vildagliptin</t>
  </si>
  <si>
    <t>ftby.</t>
  </si>
  <si>
    <t>Vildagliptin/Metformin 50mg/1000mg tablets</t>
  </si>
  <si>
    <t>ftbz.</t>
  </si>
  <si>
    <t>Vildagliptin/Metformin 50mg/850mg tablets</t>
  </si>
  <si>
    <t>fte..</t>
  </si>
  <si>
    <t>Metformin + Sitagliptin</t>
  </si>
  <si>
    <t>ftez.</t>
  </si>
  <si>
    <t>Sitagliptin/Metformin Hydrochloride 50mg/1000mg tablets</t>
  </si>
  <si>
    <t>ftg..</t>
  </si>
  <si>
    <t>Metformin + Linagliptin</t>
  </si>
  <si>
    <t>ftg2.</t>
  </si>
  <si>
    <t>Linagliptin/Metformin Hydrochloride 2.5mg/850mg tablets</t>
  </si>
  <si>
    <t>ftg4.</t>
  </si>
  <si>
    <t>Linagliptin/Metformin Hydrochloride 2.5mg/1000mg tablets</t>
  </si>
  <si>
    <t>fti..</t>
  </si>
  <si>
    <t>Metformin + Saxagliptin</t>
  </si>
  <si>
    <t>ft4u.</t>
  </si>
  <si>
    <t>Rosiglitazone 2mg / Metformin 1000mg tablets</t>
  </si>
  <si>
    <t>ft4v.</t>
  </si>
  <si>
    <t>Rosiglitazone 4mg / Metformin 1000mg tablets</t>
  </si>
  <si>
    <t>ft4w.</t>
  </si>
  <si>
    <t>Rosiglitazone 2mg / Metformin 500mg tablets</t>
  </si>
  <si>
    <t>ft4x.</t>
  </si>
  <si>
    <t>Rosiglitazone 1mg / Metformin 500mg tablets</t>
  </si>
  <si>
    <t>ft5..</t>
  </si>
  <si>
    <t>ft5x.</t>
  </si>
  <si>
    <t>45mg tablets</t>
  </si>
  <si>
    <t>ft5y.</t>
  </si>
  <si>
    <t>30mg tablets</t>
  </si>
  <si>
    <t>ft5z.</t>
  </si>
  <si>
    <t>15mg tablets</t>
  </si>
  <si>
    <t>ft1..</t>
  </si>
  <si>
    <t>ft11.</t>
  </si>
  <si>
    <t>50mg tablets</t>
  </si>
  <si>
    <t>ft12.</t>
  </si>
  <si>
    <t>ft3..</t>
  </si>
  <si>
    <t>ft31.</t>
  </si>
  <si>
    <t>0.5mg tablets</t>
  </si>
  <si>
    <t>ft32.</t>
  </si>
  <si>
    <t>1mg tablets</t>
  </si>
  <si>
    <t>ft33.</t>
  </si>
  <si>
    <t>2mg tablets</t>
  </si>
  <si>
    <t>f3A..</t>
  </si>
  <si>
    <t>f3A1.</t>
  </si>
  <si>
    <t>f3A3.</t>
  </si>
  <si>
    <t>f3A4.</t>
  </si>
  <si>
    <t>3mg tablets</t>
  </si>
  <si>
    <t>f3A5.</t>
  </si>
  <si>
    <t>4mg tablets</t>
  </si>
  <si>
    <t>f362.</t>
  </si>
  <si>
    <t>Glibenese</t>
  </si>
  <si>
    <t>f363.</t>
  </si>
  <si>
    <t>Miniodiab</t>
  </si>
  <si>
    <t>*2.5mg tablets</t>
  </si>
  <si>
    <t>f364.</t>
  </si>
  <si>
    <t>f37..</t>
  </si>
  <si>
    <t>f37z.</t>
  </si>
  <si>
    <t>*30mg tablets</t>
  </si>
  <si>
    <t>f371.</t>
  </si>
  <si>
    <t xml:space="preserve">Glurenorm </t>
  </si>
  <si>
    <t>f391.</t>
  </si>
  <si>
    <t xml:space="preserve">Tolanase </t>
  </si>
  <si>
    <t>f392.</t>
  </si>
  <si>
    <t>f3a2.</t>
  </si>
  <si>
    <t>f3a4.</t>
  </si>
  <si>
    <t xml:space="preserve">Rastinon </t>
  </si>
  <si>
    <t>*500mg tablets</t>
  </si>
  <si>
    <t>f413.</t>
  </si>
  <si>
    <t xml:space="preserve">Orabet </t>
  </si>
  <si>
    <t>f414.</t>
  </si>
  <si>
    <t>*850mg tablets</t>
  </si>
  <si>
    <t>f323.</t>
  </si>
  <si>
    <t>*100mg tablets</t>
  </si>
  <si>
    <t>f324.</t>
  </si>
  <si>
    <t>*250mg tablets</t>
  </si>
  <si>
    <t>f325.</t>
  </si>
  <si>
    <t xml:space="preserve">Glymese </t>
  </si>
  <si>
    <t>f333.</t>
  </si>
  <si>
    <t xml:space="preserve">Daonil </t>
  </si>
  <si>
    <t>f33b.</t>
  </si>
  <si>
    <t>*CP 5mg tablets</t>
  </si>
  <si>
    <t>f334.</t>
  </si>
  <si>
    <t xml:space="preserve">Semi-Daonil </t>
  </si>
  <si>
    <t>f33c.</t>
  </si>
  <si>
    <t>*CP 2.5mg tablets</t>
  </si>
  <si>
    <t>f335.</t>
  </si>
  <si>
    <t xml:space="preserve">Euglucon </t>
  </si>
  <si>
    <t>f336.</t>
  </si>
  <si>
    <t>f339.</t>
  </si>
  <si>
    <t>f33a.</t>
  </si>
  <si>
    <t>f33d.</t>
  </si>
  <si>
    <t>f33e.</t>
  </si>
  <si>
    <t>f33f.</t>
  </si>
  <si>
    <t xml:space="preserve">Calabren </t>
  </si>
  <si>
    <t>f33g.</t>
  </si>
  <si>
    <t>* 5mg tablets</t>
  </si>
  <si>
    <t>f351.</t>
  </si>
  <si>
    <t xml:space="preserve">Diamicron </t>
  </si>
  <si>
    <t>f354.</t>
  </si>
  <si>
    <t>MR 30mg m/r tablets</t>
  </si>
  <si>
    <t>ft51.</t>
  </si>
  <si>
    <t>Actos</t>
  </si>
  <si>
    <t>ft52.</t>
  </si>
  <si>
    <t>ft53.</t>
  </si>
  <si>
    <t>ft13.</t>
  </si>
  <si>
    <t>50 tablets</t>
  </si>
  <si>
    <t>ft14.</t>
  </si>
  <si>
    <t>100 tablets</t>
  </si>
  <si>
    <t>ft34.</t>
  </si>
  <si>
    <t xml:space="preserve">Novonorm </t>
  </si>
  <si>
    <t>*0.5mg tablets</t>
  </si>
  <si>
    <t>ft35.</t>
  </si>
  <si>
    <t>*1mg tablets</t>
  </si>
  <si>
    <t>ft36.</t>
  </si>
  <si>
    <t>*2mg tablets</t>
  </si>
  <si>
    <t>I251</t>
  </si>
  <si>
    <t>Atherosclerotic heart disease</t>
  </si>
  <si>
    <t>G340.</t>
  </si>
  <si>
    <t>Coronary atherosclerosis</t>
  </si>
  <si>
    <t>G3400</t>
  </si>
  <si>
    <t>Single coronary vessel disease</t>
  </si>
  <si>
    <t>G3401</t>
  </si>
  <si>
    <t>Double coronary vessel disease</t>
  </si>
  <si>
    <t>G704.</t>
  </si>
  <si>
    <t>Non-obstructive coronary atherosclerosis</t>
  </si>
  <si>
    <t>Fracture resulting from simple fall</t>
  </si>
  <si>
    <t>fracture shoulder / scapula</t>
  </si>
  <si>
    <t>fracture upper arm / humerus / elbow</t>
  </si>
  <si>
    <t>fracture forearm / wrist</t>
  </si>
  <si>
    <t>fracture radius</t>
  </si>
  <si>
    <t>fracture wrist / colles fracture</t>
  </si>
  <si>
    <t>fracture rib</t>
  </si>
  <si>
    <t>fracture vertebra / crush fracture / vertebral collapse</t>
  </si>
  <si>
    <t>fracture pelvis</t>
  </si>
  <si>
    <t>fracture neck of femur / hip</t>
  </si>
  <si>
    <t>S720</t>
  </si>
  <si>
    <t>Fracture of neck of femur</t>
  </si>
  <si>
    <t>S721</t>
  </si>
  <si>
    <t>Pertrochanteric fracture</t>
  </si>
  <si>
    <t>S729</t>
  </si>
  <si>
    <t>Fracture of femur, part unspecified</t>
  </si>
  <si>
    <t>S722</t>
  </si>
  <si>
    <t>Subtrochanteric fracture</t>
  </si>
  <si>
    <t>S327</t>
  </si>
  <si>
    <t>Multiple fractures of lumbar spine and pelvis</t>
  </si>
  <si>
    <t>S321</t>
  </si>
  <si>
    <t>Fracture of sacrum</t>
  </si>
  <si>
    <t>S322</t>
  </si>
  <si>
    <t>Fracture of coccyx</t>
  </si>
  <si>
    <t>S323</t>
  </si>
  <si>
    <t>Fracture of ilium</t>
  </si>
  <si>
    <t>S324</t>
  </si>
  <si>
    <t>Fracture of acetabulum</t>
  </si>
  <si>
    <t>S325</t>
  </si>
  <si>
    <t>Fracture of pubis</t>
  </si>
  <si>
    <t>S328</t>
  </si>
  <si>
    <t>Fracture of other and unspecified parts of lumbar spine and pelvis</t>
  </si>
  <si>
    <t>S422</t>
  </si>
  <si>
    <t>Fracture of upper end of humerus</t>
  </si>
  <si>
    <t>S423</t>
  </si>
  <si>
    <t>Fracture of shaft of humerus</t>
  </si>
  <si>
    <t>S428</t>
  </si>
  <si>
    <t>Fracture of other parts of shoulder and upper arm</t>
  </si>
  <si>
    <t>S220</t>
  </si>
  <si>
    <t>Fracture of thoracic vertebra</t>
  </si>
  <si>
    <t>S221</t>
  </si>
  <si>
    <t>Multiple fractures of thoracic spine</t>
  </si>
  <si>
    <t>S320</t>
  </si>
  <si>
    <t>Fracture of lumbar vertebra</t>
  </si>
  <si>
    <t>S223</t>
  </si>
  <si>
    <t>Fracture of rib</t>
  </si>
  <si>
    <t>S224</t>
  </si>
  <si>
    <t>Multiple fractures of ribs</t>
  </si>
  <si>
    <t>S522</t>
  </si>
  <si>
    <t>Fracture of shaft of ulna</t>
  </si>
  <si>
    <t>S523</t>
  </si>
  <si>
    <t>Fracture of shaft of radius</t>
  </si>
  <si>
    <t>S524</t>
  </si>
  <si>
    <t>Fracture of shafts of both ulna and radius</t>
  </si>
  <si>
    <t>S525</t>
  </si>
  <si>
    <t>Fracture of lower end of radius</t>
  </si>
  <si>
    <t>S526</t>
  </si>
  <si>
    <t>Fracture of lower end of both ulna and radius</t>
  </si>
  <si>
    <t>S527</t>
  </si>
  <si>
    <t>Multiple fractures of forearm</t>
  </si>
  <si>
    <t>S528</t>
  </si>
  <si>
    <t>Fracture of other parts of forearm</t>
  </si>
  <si>
    <t>S529</t>
  </si>
  <si>
    <t>Fracture of forearm, part unspecified</t>
  </si>
  <si>
    <t>7K1D0</t>
  </si>
  <si>
    <t>Primary open reduction and internal fixation of proximal femoral fracture with screw/nail and plate device</t>
  </si>
  <si>
    <t>7K1DE</t>
  </si>
  <si>
    <t>Primary open reduction of fracture of neck of femur and open fixation using proximal femoral nail antirotation</t>
  </si>
  <si>
    <t>7K1E6</t>
  </si>
  <si>
    <t>Primary open reduction of fracture of elbow and fixation with Hook fixation plate</t>
  </si>
  <si>
    <t>7K1J0</t>
  </si>
  <si>
    <t>Closed reduction and internal fixation of proximal femoral fracture with screw/nail device alone</t>
  </si>
  <si>
    <t>7K1Jd</t>
  </si>
  <si>
    <t>Closed reduction of intracapsular fracture of neck of femur and internal fixation using a dynamic hip screw</t>
  </si>
  <si>
    <t>7K1L4</t>
  </si>
  <si>
    <t>Closed reduction of fracture of hip</t>
  </si>
  <si>
    <t>7K1L5</t>
  </si>
  <si>
    <t>Closed reduction of fracture of femur</t>
  </si>
  <si>
    <t>7K1LE</t>
  </si>
  <si>
    <t>Closed reduction of fracture of elbow</t>
  </si>
  <si>
    <t>7K1LF</t>
  </si>
  <si>
    <t>Closed reduction of fracture of humerus</t>
  </si>
  <si>
    <t>7K1LG</t>
  </si>
  <si>
    <t>Closed reduction of fracture of shoulder</t>
  </si>
  <si>
    <t>7K1LL</t>
  </si>
  <si>
    <t>Closed reduction of fracture of radius and or ulna</t>
  </si>
  <si>
    <t>7K1LM</t>
  </si>
  <si>
    <t>Closed reduction of fracture of wrist</t>
  </si>
  <si>
    <t>N1y1.</t>
  </si>
  <si>
    <t>Fatigue fracture of vertebra</t>
  </si>
  <si>
    <t>N3310</t>
  </si>
  <si>
    <t>Pathological fracture of thoracic vertebra</t>
  </si>
  <si>
    <t>N3311</t>
  </si>
  <si>
    <t>Pathological fracture of lumbar vertebra</t>
  </si>
  <si>
    <t>N3318</t>
  </si>
  <si>
    <t>Osteoporosis + pathological fracture lumbar vertebrae</t>
  </si>
  <si>
    <t>N3319</t>
  </si>
  <si>
    <t>Osteoporosis + pathological fracture thoracic vertebrae</t>
  </si>
  <si>
    <t>S102.</t>
  </si>
  <si>
    <t>Closed fracture thoracic vertebra</t>
  </si>
  <si>
    <t>S1020</t>
  </si>
  <si>
    <t>Closed fracture thoracic vertebra, burst</t>
  </si>
  <si>
    <t>S1021</t>
  </si>
  <si>
    <t>Closed fracture thoracic vertebra, wedge</t>
  </si>
  <si>
    <t>S1022</t>
  </si>
  <si>
    <t>Closed fracture thoracic vertebra, spondylolysis</t>
  </si>
  <si>
    <t>S102y</t>
  </si>
  <si>
    <t>Other specified closed fracture thoracic vertebra</t>
  </si>
  <si>
    <t>S102z</t>
  </si>
  <si>
    <t>Closed fracture thoracic vertebra not otherwise specified</t>
  </si>
  <si>
    <t>S104.</t>
  </si>
  <si>
    <t>Closed fracture lumbar vertebra</t>
  </si>
  <si>
    <t>S1040</t>
  </si>
  <si>
    <t>Closed fracture lumbar vertebra, burst</t>
  </si>
  <si>
    <t>S1041</t>
  </si>
  <si>
    <t>Closed fracture lumbar vertebra, wedge</t>
  </si>
  <si>
    <t>S1042</t>
  </si>
  <si>
    <t>Closed fracture lumbar vertebra, spondylolysis</t>
  </si>
  <si>
    <t>S106.</t>
  </si>
  <si>
    <t>Closed fracture sacrum</t>
  </si>
  <si>
    <t>S1060</t>
  </si>
  <si>
    <t>Closed compression fracture sacrum</t>
  </si>
  <si>
    <t>S1061</t>
  </si>
  <si>
    <t>Closed vertical fracture of sacrum</t>
  </si>
  <si>
    <t>S108.</t>
  </si>
  <si>
    <t>Closed fracture pelvis, coccyx</t>
  </si>
  <si>
    <t>S10B6</t>
  </si>
  <si>
    <t>S112.</t>
  </si>
  <si>
    <t>Closed fracture of thoracic spine with spinal cord lesion</t>
  </si>
  <si>
    <t>S112z</t>
  </si>
  <si>
    <t>Closed fracture of thoracic spine with spinal cord lesion NOS</t>
  </si>
  <si>
    <t>S114.</t>
  </si>
  <si>
    <t>Closed fracture of lumbar spine with spinal cord lesion</t>
  </si>
  <si>
    <t>S116.</t>
  </si>
  <si>
    <t>Closed fracture of sacrum with spinal cord lesion</t>
  </si>
  <si>
    <t>S1160</t>
  </si>
  <si>
    <t>Closed fracture of sacrum with unspecified spinal cord lesion</t>
  </si>
  <si>
    <t>S1161</t>
  </si>
  <si>
    <t>Closed fracture of sacrum with complete cauda equina lesion</t>
  </si>
  <si>
    <t>S1162</t>
  </si>
  <si>
    <t>Closed fracture of sacrum with other cauda equina injury</t>
  </si>
  <si>
    <t>S1163</t>
  </si>
  <si>
    <t>Closed fracture of sacrum with other spinal cord injury</t>
  </si>
  <si>
    <t>S116z</t>
  </si>
  <si>
    <t>Closed fracture of sacrum with spinal cord lesion NOS</t>
  </si>
  <si>
    <t>S118.</t>
  </si>
  <si>
    <t>Closed fracture of coccyx with spinal cord lesion</t>
  </si>
  <si>
    <t>S1180</t>
  </si>
  <si>
    <t>Closed fracture of coccyx with unspecified spinal cord lesion</t>
  </si>
  <si>
    <t>S1181</t>
  </si>
  <si>
    <t>Closed fracture of coccyx with complete cauda equina lesion</t>
  </si>
  <si>
    <t>S1182</t>
  </si>
  <si>
    <t>Closed fracture of coccyx with other cauda equina injury</t>
  </si>
  <si>
    <t>S1183</t>
  </si>
  <si>
    <t>Closed fracture of coccyx with other spinal cord injury</t>
  </si>
  <si>
    <t>S118z</t>
  </si>
  <si>
    <t>Closed fracture of coccyx with spinal cord lesion NOS</t>
  </si>
  <si>
    <t>S120.</t>
  </si>
  <si>
    <t>Closed fracture rib</t>
  </si>
  <si>
    <t>S1200</t>
  </si>
  <si>
    <t>Closed fracture of rib, unspecified</t>
  </si>
  <si>
    <t>S1201</t>
  </si>
  <si>
    <t>Closed fracture of one rib</t>
  </si>
  <si>
    <t>S1202</t>
  </si>
  <si>
    <t>Closed fracture of two ribs</t>
  </si>
  <si>
    <t>S1203</t>
  </si>
  <si>
    <t>Closed fracture of three ribs</t>
  </si>
  <si>
    <t>S1204</t>
  </si>
  <si>
    <t>Closed fracture of four ribs</t>
  </si>
  <si>
    <t>S1205</t>
  </si>
  <si>
    <t>Closed fracture of five ribs</t>
  </si>
  <si>
    <t>S1206</t>
  </si>
  <si>
    <t>Closed fracture of six ribs</t>
  </si>
  <si>
    <t>S1207</t>
  </si>
  <si>
    <t>Closed fracture of seven ribs</t>
  </si>
  <si>
    <t>S1208</t>
  </si>
  <si>
    <t>Closed fracture of eight or more ribs</t>
  </si>
  <si>
    <t>S1209</t>
  </si>
  <si>
    <t>Closed fracture multiple ribs</t>
  </si>
  <si>
    <t>S1270</t>
  </si>
  <si>
    <t>S1271</t>
  </si>
  <si>
    <t>Cough fracture of ribs</t>
  </si>
  <si>
    <t>S130.</t>
  </si>
  <si>
    <t>Closed fracture acetabulum</t>
  </si>
  <si>
    <t>S1300</t>
  </si>
  <si>
    <t>Closed fracture acetabulum, anterior lip alone</t>
  </si>
  <si>
    <t>S1301</t>
  </si>
  <si>
    <t>Closed fracture acetabulum, posterior lip alone</t>
  </si>
  <si>
    <t>S1302</t>
  </si>
  <si>
    <t>Closed fracture acetabulum, anterior column</t>
  </si>
  <si>
    <t>S1303</t>
  </si>
  <si>
    <t>Closed fracture acetabulum, posterior column</t>
  </si>
  <si>
    <t>S1304</t>
  </si>
  <si>
    <t>Closed fracture acetabulum, floor</t>
  </si>
  <si>
    <t>S1305</t>
  </si>
  <si>
    <t>Closed fracture acetabulum, double column transverse</t>
  </si>
  <si>
    <t>S1306</t>
  </si>
  <si>
    <t>Closed fracture acetabulum, double column unspecified</t>
  </si>
  <si>
    <t>S130y</t>
  </si>
  <si>
    <t>Other specified closed fracture acetabulum</t>
  </si>
  <si>
    <t>S130z</t>
  </si>
  <si>
    <t>Closed fracture acetabulum NOS</t>
  </si>
  <si>
    <t>S132.</t>
  </si>
  <si>
    <t>Closed fracture pubis</t>
  </si>
  <si>
    <t>S1320</t>
  </si>
  <si>
    <t>Closed fracture pelvis, single pubic ramus</t>
  </si>
  <si>
    <t>S1321</t>
  </si>
  <si>
    <t>Closed fracture pelvis, multiple pubic rami - stable</t>
  </si>
  <si>
    <t>S1322</t>
  </si>
  <si>
    <t>Closed fracture pelvis, multiple pubic rami - unstable</t>
  </si>
  <si>
    <t>S132y</t>
  </si>
  <si>
    <t>Other specified closed fracture pubis</t>
  </si>
  <si>
    <t>S132z</t>
  </si>
  <si>
    <t>Closed fracture pubis NOS</t>
  </si>
  <si>
    <t>S1340</t>
  </si>
  <si>
    <t>Closed fracture of ilium, unspecified</t>
  </si>
  <si>
    <t>S1341</t>
  </si>
  <si>
    <t>Closed fracture pelvis, ischium</t>
  </si>
  <si>
    <t>S1342</t>
  </si>
  <si>
    <t>Closed multiple disruptions of pelvis</t>
  </si>
  <si>
    <t>S1343</t>
  </si>
  <si>
    <t>Closed fracture pelvis, ischial tuberosity</t>
  </si>
  <si>
    <t>S1344</t>
  </si>
  <si>
    <t>Closed fracture pelvis, anterior superior iliac spine</t>
  </si>
  <si>
    <t>S1345</t>
  </si>
  <si>
    <t>Closed fracture pelvis, anterior inferior iliac spine</t>
  </si>
  <si>
    <t>S1346</t>
  </si>
  <si>
    <t>Closed fracture pelvis, iliac wing</t>
  </si>
  <si>
    <t>S1347</t>
  </si>
  <si>
    <t>Closed vertical fracture of ilium</t>
  </si>
  <si>
    <t>S1348</t>
  </si>
  <si>
    <t>Closed fracture dislocation of sacro-iliac joint</t>
  </si>
  <si>
    <t>S134z</t>
  </si>
  <si>
    <t>Other or multiple closed fracture of pelvis NOS</t>
  </si>
  <si>
    <t>S150.</t>
  </si>
  <si>
    <t>S1500</t>
  </si>
  <si>
    <t>Closed multiple fractures of thoracic spine</t>
  </si>
  <si>
    <t>S210.</t>
  </si>
  <si>
    <t>Closed fracture of scapula</t>
  </si>
  <si>
    <t>S2100</t>
  </si>
  <si>
    <t>Closed fracture of scapula, unspecified part</t>
  </si>
  <si>
    <t>S2101</t>
  </si>
  <si>
    <t>Closed fracture scapula, acromion</t>
  </si>
  <si>
    <t>S2102</t>
  </si>
  <si>
    <t>Closed fracture scapula, coracoid</t>
  </si>
  <si>
    <t>S2103</t>
  </si>
  <si>
    <t>Closed fracture scapula, glenoid</t>
  </si>
  <si>
    <t>S2104</t>
  </si>
  <si>
    <t>Closed fracture scapula, blade</t>
  </si>
  <si>
    <t>S2105</t>
  </si>
  <si>
    <t>Closed fracture scapula, spine</t>
  </si>
  <si>
    <t>S2106</t>
  </si>
  <si>
    <t>Closed fracture scapula, neck</t>
  </si>
  <si>
    <t>S210z</t>
  </si>
  <si>
    <t>Closed fracture of scapula NOS</t>
  </si>
  <si>
    <t>S220.</t>
  </si>
  <si>
    <t>Closed fracture of the proximal humerus</t>
  </si>
  <si>
    <t>S2200</t>
  </si>
  <si>
    <t>Closed fracture of proximal humerus, unspecified part</t>
  </si>
  <si>
    <t>S2201</t>
  </si>
  <si>
    <t>Closed fracture proximal humerus, neck</t>
  </si>
  <si>
    <t>S2202</t>
  </si>
  <si>
    <t>Closed fracture of proximal humerus, anatomical neck</t>
  </si>
  <si>
    <t>S2203</t>
  </si>
  <si>
    <t>Closed fracture proximal humerus, greater tuberosity</t>
  </si>
  <si>
    <t>S2204</t>
  </si>
  <si>
    <t>Closed fracture proximal humerus, head</t>
  </si>
  <si>
    <t>S2205</t>
  </si>
  <si>
    <t>Closed fracture of humerus, upper epiphysis</t>
  </si>
  <si>
    <t>S2206</t>
  </si>
  <si>
    <t>Closed fracture proximal humerus, three part</t>
  </si>
  <si>
    <t>S2207</t>
  </si>
  <si>
    <t>Closed fracture proximal humerus, four part</t>
  </si>
  <si>
    <t>S220z</t>
  </si>
  <si>
    <t>Closed fracture of proximal humerus not otherwise specified</t>
  </si>
  <si>
    <t>S222.</t>
  </si>
  <si>
    <t>Closed fracture of humerus, shaft or unspecified part</t>
  </si>
  <si>
    <t>S2220</t>
  </si>
  <si>
    <t>Closed fracture of humerus NOS</t>
  </si>
  <si>
    <t>S2221</t>
  </si>
  <si>
    <t>Closed fracture of humerus, shaft</t>
  </si>
  <si>
    <t>S222z</t>
  </si>
  <si>
    <t>Closed fracture of humerus, shaft or unspecified part NOS</t>
  </si>
  <si>
    <t>S230.</t>
  </si>
  <si>
    <t>Closed fracture of proximal radius and ulna</t>
  </si>
  <si>
    <t>S2300</t>
  </si>
  <si>
    <t>Closed fracture of proximal forearm, unspecified part</t>
  </si>
  <si>
    <t>S2306</t>
  </si>
  <si>
    <t>Closed fracture radius, head</t>
  </si>
  <si>
    <t>S2307</t>
  </si>
  <si>
    <t>Closed fracture radius, neck</t>
  </si>
  <si>
    <t>S230A</t>
  </si>
  <si>
    <t>Closed fracture radius and ulna, proximal</t>
  </si>
  <si>
    <t>S230z</t>
  </si>
  <si>
    <t>Closed fracture of proximal forearm not otherwise specified</t>
  </si>
  <si>
    <t>S234.</t>
  </si>
  <si>
    <t>Closed fracture of radius and ulna, lower end</t>
  </si>
  <si>
    <t>S2340</t>
  </si>
  <si>
    <t>Closed fracture of forearm, lower end, unspecified</t>
  </si>
  <si>
    <t>S2342</t>
  </si>
  <si>
    <t>Closed fracture of the distal radius, unspecified</t>
  </si>
  <si>
    <t>S2346</t>
  </si>
  <si>
    <t>Closed fracture radius and ulna, distal</t>
  </si>
  <si>
    <t>S234C</t>
  </si>
  <si>
    <t>Closed fracture distal radius, intra-articular, die-punch</t>
  </si>
  <si>
    <t>S234D</t>
  </si>
  <si>
    <t>Closed fracture distal radius, extra-articular, other type</t>
  </si>
  <si>
    <t>S234E</t>
  </si>
  <si>
    <t>Closed fracture distal radius, intra-articular, other type</t>
  </si>
  <si>
    <t>S234z</t>
  </si>
  <si>
    <t>Closed fracture of forearm, lower end, NOS</t>
  </si>
  <si>
    <t>S300.</t>
  </si>
  <si>
    <t>Closed fracture proximal femur, transcervical</t>
  </si>
  <si>
    <t>S3000</t>
  </si>
  <si>
    <t>Closed fracture proximal femur, intracapsular section, unspecified</t>
  </si>
  <si>
    <t>S3001</t>
  </si>
  <si>
    <t>Closed fracture proximal femur, transepiphyseal</t>
  </si>
  <si>
    <t>S3002</t>
  </si>
  <si>
    <t>Closed fracture proximal femur, midcervical section</t>
  </si>
  <si>
    <t>S3003</t>
  </si>
  <si>
    <t>Closed fracture proximal femur, basicervical</t>
  </si>
  <si>
    <t>S3004</t>
  </si>
  <si>
    <t>Closed fracture head of femur</t>
  </si>
  <si>
    <t>S3005</t>
  </si>
  <si>
    <t>Closed fracture proximal femur, subcapital, Garden grade unspecified</t>
  </si>
  <si>
    <t>S3006</t>
  </si>
  <si>
    <t>Closed fracture proximal femur, subcapital, Garden grade I</t>
  </si>
  <si>
    <t>S3007</t>
  </si>
  <si>
    <t>Closed fracture proximal femur, subcapital, Garden grade II</t>
  </si>
  <si>
    <t>S3008</t>
  </si>
  <si>
    <t>Closed fracture proximal femur, subcapital, Garden grade III</t>
  </si>
  <si>
    <t>S3009</t>
  </si>
  <si>
    <t>Closed fracture proximal femur, subcapital, Garden grade IV</t>
  </si>
  <si>
    <t>S300A</t>
  </si>
  <si>
    <t>Closed fracture of femur, upper epiphysis</t>
  </si>
  <si>
    <t>S300y</t>
  </si>
  <si>
    <t>Closed fracture proximal femur, other transcervical</t>
  </si>
  <si>
    <t>S300z</t>
  </si>
  <si>
    <t>Closed fracture proximal femur, transcervical, not otherwise specified</t>
  </si>
  <si>
    <t>S302.</t>
  </si>
  <si>
    <t>Closed fracture of proximal femur, pertrochanteric</t>
  </si>
  <si>
    <t>S3020</t>
  </si>
  <si>
    <t>Closed fracture of proximal femur, trochanteric section, unspecified</t>
  </si>
  <si>
    <t>S3021</t>
  </si>
  <si>
    <t>Closed fracture proximal femur, intertrochanteric, two part</t>
  </si>
  <si>
    <t>S3022</t>
  </si>
  <si>
    <t>Closed fracture proximal femur, subtrochanteric</t>
  </si>
  <si>
    <t>S3023</t>
  </si>
  <si>
    <t>Closed fracture proximal femur, intertrochanteric, comminuted</t>
  </si>
  <si>
    <t>S3024</t>
  </si>
  <si>
    <t>Closed fracture of femur, intertrochanteric</t>
  </si>
  <si>
    <t>S302z</t>
  </si>
  <si>
    <t>Closed fracture of proximal femur, pertrochanteric section, not otherwise specified</t>
  </si>
  <si>
    <t>S304.</t>
  </si>
  <si>
    <t>S305.</t>
  </si>
  <si>
    <t>S30w.</t>
  </si>
  <si>
    <t>Closed fracture of unspecified proximal femur</t>
  </si>
  <si>
    <t>S30y.</t>
  </si>
  <si>
    <t>Closed fracture of neck of femur NOS</t>
  </si>
  <si>
    <t>S31..</t>
  </si>
  <si>
    <t>Other fracture of femur</t>
  </si>
  <si>
    <t>S310.</t>
  </si>
  <si>
    <t>Closed fracture of femur, shaft or unspecified part</t>
  </si>
  <si>
    <t>S3100</t>
  </si>
  <si>
    <t>Closed fracture of femur, unspecified part</t>
  </si>
  <si>
    <t>S3101</t>
  </si>
  <si>
    <t>Closed fracture shaft of femur</t>
  </si>
  <si>
    <t>S312.</t>
  </si>
  <si>
    <t>Closed fracture distal femur</t>
  </si>
  <si>
    <t>S3120</t>
  </si>
  <si>
    <t>Closed fracture of distal femur, unspecified</t>
  </si>
  <si>
    <t>S3122</t>
  </si>
  <si>
    <t>Closed fracture of femur, lower epiphysis</t>
  </si>
  <si>
    <t>S3123</t>
  </si>
  <si>
    <t>Closed fracture distal femur, supracondylar</t>
  </si>
  <si>
    <t>S3124</t>
  </si>
  <si>
    <t>Closed fracture distal femur, medial condyle</t>
  </si>
  <si>
    <t>S3125</t>
  </si>
  <si>
    <t>Closed fracture distal femur, lateral condyle</t>
  </si>
  <si>
    <t>S3126</t>
  </si>
  <si>
    <t>Closed fracture distal femur, bicondylar (T-Y fracture)</t>
  </si>
  <si>
    <t>S312x</t>
  </si>
  <si>
    <t>Closed fracture distal femur, comminuted/intra-articular</t>
  </si>
  <si>
    <t>S312z</t>
  </si>
  <si>
    <t>Closed fracture of distal femur not otherwise specified</t>
  </si>
  <si>
    <t>S4A0.</t>
  </si>
  <si>
    <t>Closed fracture-dislocation shoulder</t>
  </si>
  <si>
    <t>S4A00</t>
  </si>
  <si>
    <t>Closed fracture-dislocation shoulder joint</t>
  </si>
  <si>
    <t>S4A01</t>
  </si>
  <si>
    <t>Closed fracture-dislocation acromio-clavicular joint</t>
  </si>
  <si>
    <t>S4A2.</t>
  </si>
  <si>
    <t>Closed fracture-subluxation shoulder</t>
  </si>
  <si>
    <t>S4A20</t>
  </si>
  <si>
    <t>Closed fracture-subluxation shoulder joint</t>
  </si>
  <si>
    <t>S4A21</t>
  </si>
  <si>
    <t>Closed fracture-subluxation acromio-clavicular joint</t>
  </si>
  <si>
    <t>S4B0.</t>
  </si>
  <si>
    <t>Closed fracture-dislocation elbow</t>
  </si>
  <si>
    <t>S4B00</t>
  </si>
  <si>
    <t>Closed fracture-dislocation elbow joint</t>
  </si>
  <si>
    <t>S4B01</t>
  </si>
  <si>
    <t>Closed fracture-dislocation superior radio-ulnar joint</t>
  </si>
  <si>
    <t>S4B2.</t>
  </si>
  <si>
    <t>Closed fracture-subluxation elbow</t>
  </si>
  <si>
    <t>S4B20</t>
  </si>
  <si>
    <t>Closed fracture-subluxation elbow joint</t>
  </si>
  <si>
    <t>S4B21</t>
  </si>
  <si>
    <t>Closed fracture-subluxation superior radio-ulnar joint</t>
  </si>
  <si>
    <t>S4C..</t>
  </si>
  <si>
    <t>Fracture-dislocation or subluxation of wrist</t>
  </si>
  <si>
    <t>S4C0.</t>
  </si>
  <si>
    <t>Closed fracture dislocation of wrist</t>
  </si>
  <si>
    <t>S4C00</t>
  </si>
  <si>
    <t>Closed fracture-dislocation distal radio-ulnar joint</t>
  </si>
  <si>
    <t>S4C01</t>
  </si>
  <si>
    <t>Closed fracture-dislocation radiocarpal joint</t>
  </si>
  <si>
    <t>S4C02</t>
  </si>
  <si>
    <t>Closed fracture-dislocation mid carpal</t>
  </si>
  <si>
    <t>S4C03</t>
  </si>
  <si>
    <t>Closed fracture-dislocation, carpometacarpal joint</t>
  </si>
  <si>
    <t>S4E..</t>
  </si>
  <si>
    <t>Fracture-dislocation or subluxation hip</t>
  </si>
  <si>
    <t>S4E0.</t>
  </si>
  <si>
    <t>Closed fracture-dislocation, hip joint</t>
  </si>
  <si>
    <t>S4E2.</t>
  </si>
  <si>
    <t>Closed fracture-subluxation, hip joint</t>
  </si>
  <si>
    <t>S4J01</t>
  </si>
  <si>
    <t>Closed fracture-dislocation of pelvis</t>
  </si>
  <si>
    <t>S4J21</t>
  </si>
  <si>
    <t>Closed fracture-subluxation of pelvis</t>
  </si>
  <si>
    <t>Syu42</t>
  </si>
  <si>
    <t>[X]Multiple fractures of clavicle, scapula and humerus</t>
  </si>
  <si>
    <t>S10..</t>
  </si>
  <si>
    <t>Fracture of spine without mention of spinal cord injury</t>
  </si>
  <si>
    <t>S10B.</t>
  </si>
  <si>
    <t>Fracture of lumbar spine and pelvis</t>
  </si>
  <si>
    <t>S10B0</t>
  </si>
  <si>
    <t>S10B1</t>
  </si>
  <si>
    <t>S10B2</t>
  </si>
  <si>
    <t>S10B3</t>
  </si>
  <si>
    <t>S10B4</t>
  </si>
  <si>
    <t>S10B5</t>
  </si>
  <si>
    <t>S11..</t>
  </si>
  <si>
    <t>Fracture of spine with spinal cord lesion</t>
  </si>
  <si>
    <t>S127.</t>
  </si>
  <si>
    <t>S13..</t>
  </si>
  <si>
    <t>Fracture or disruption of pelvis</t>
  </si>
  <si>
    <t>S15..</t>
  </si>
  <si>
    <t>S21..</t>
  </si>
  <si>
    <t>Fracture of scapula</t>
  </si>
  <si>
    <t>S21z.</t>
  </si>
  <si>
    <t>Fracture of scapula NOS</t>
  </si>
  <si>
    <t>S22..</t>
  </si>
  <si>
    <t>Fracture of humerus</t>
  </si>
  <si>
    <t>S226.</t>
  </si>
  <si>
    <t>S227.</t>
  </si>
  <si>
    <t>S228.</t>
  </si>
  <si>
    <t>Fracture of lower end of humerus</t>
  </si>
  <si>
    <t>S22z.</t>
  </si>
  <si>
    <t>Fracture of humerus NOS</t>
  </si>
  <si>
    <t>S23..</t>
  </si>
  <si>
    <t>Fracture of radius and ulna</t>
  </si>
  <si>
    <t>S236.</t>
  </si>
  <si>
    <t>Fracture of upper end of ulna</t>
  </si>
  <si>
    <t>S237.</t>
  </si>
  <si>
    <t>Fracture of upper end of radius</t>
  </si>
  <si>
    <t>S238.</t>
  </si>
  <si>
    <t>S239.</t>
  </si>
  <si>
    <t>S23A.</t>
  </si>
  <si>
    <t>S23B.</t>
  </si>
  <si>
    <t>S23C.</t>
  </si>
  <si>
    <t>S23x.</t>
  </si>
  <si>
    <t>Closed fracture of radius and ulna, unspecified part</t>
  </si>
  <si>
    <t>S23x1</t>
  </si>
  <si>
    <t>Fracture of radius NOS</t>
  </si>
  <si>
    <t>S23z.</t>
  </si>
  <si>
    <t>Fracture of radius and ulna, NOS</t>
  </si>
  <si>
    <t>S242.</t>
  </si>
  <si>
    <t>Fracture at wrist and hand level</t>
  </si>
  <si>
    <t>S30..</t>
  </si>
  <si>
    <t>S314.</t>
  </si>
  <si>
    <t>Fracture of shaft of femur</t>
  </si>
  <si>
    <t>S315.</t>
  </si>
  <si>
    <t>Fracture of lower end of femur</t>
  </si>
  <si>
    <t>S31z.</t>
  </si>
  <si>
    <t>Fracture of femur, NOS</t>
  </si>
  <si>
    <t>S4A..</t>
  </si>
  <si>
    <t>Fracture-dislocation or subluxation shoulder</t>
  </si>
  <si>
    <t>S4B..</t>
  </si>
  <si>
    <t>Fracture-dislocation or subluxation elbow</t>
  </si>
  <si>
    <t>SR11.</t>
  </si>
  <si>
    <t>Fractures involving thorax with lower back and pelvis</t>
  </si>
  <si>
    <t>SR16.</t>
  </si>
  <si>
    <t>Fractures involving thorax with lower back and pelvis with limb(s)</t>
  </si>
  <si>
    <t>Syu34</t>
  </si>
  <si>
    <t>[X]Fracture of other and unspecified parts of lumbar spine and pelvis</t>
  </si>
  <si>
    <t>Syu43</t>
  </si>
  <si>
    <t>[X]Fracture of other parts of shoulder and upper arm</t>
  </si>
  <si>
    <t>Syu44</t>
  </si>
  <si>
    <t>[X]Fracture of shoulder and upper arm, unspecified</t>
  </si>
  <si>
    <t>Syu53</t>
  </si>
  <si>
    <t>[X]Fracture of other parts of forearm</t>
  </si>
  <si>
    <t>Syu54</t>
  </si>
  <si>
    <t>[X]Fracture of forearm, unspecified</t>
  </si>
  <si>
    <t>Syu65</t>
  </si>
  <si>
    <t>[X]Fracture of other and unspecified parts of wrist and hand</t>
  </si>
  <si>
    <t>S2341</t>
  </si>
  <si>
    <t>Closed Colles' fracture</t>
  </si>
  <si>
    <t>S2351</t>
  </si>
  <si>
    <t>Open Colles' fracture</t>
  </si>
  <si>
    <t xml:space="preserve"> HES DATA</t>
  </si>
  <si>
    <t>GP DATA</t>
  </si>
  <si>
    <t>CAD</t>
  </si>
  <si>
    <t>Fracture risk</t>
  </si>
  <si>
    <t>UK Biobank - Touchscreen</t>
  </si>
  <si>
    <t>UK Biobank - Verbal interview</t>
  </si>
  <si>
    <t>UK Biobank</t>
  </si>
  <si>
    <t>Hypertension</t>
  </si>
  <si>
    <t>UK Biobank - Verbal Interview</t>
  </si>
  <si>
    <t>Myocardial infarction</t>
  </si>
  <si>
    <t>180266 / 442,272</t>
  </si>
  <si>
    <t>9095 / 442,272</t>
  </si>
  <si>
    <t>22,498 / 442,272</t>
  </si>
  <si>
    <t>5,08%</t>
  </si>
  <si>
    <t>Type 2 diabetes</t>
  </si>
  <si>
    <t>UK Biobank - Verbal interview (Diagnostic)</t>
  </si>
  <si>
    <t>UK Biobank - Verbal interview (Medicines)</t>
  </si>
  <si>
    <t>UK Biobank - Verbal interview (Biomarkers)</t>
  </si>
  <si>
    <t>SI</t>
  </si>
  <si>
    <t>Fracture from the last five years: Data UK Biobank visit</t>
  </si>
  <si>
    <t>Field: 2976 (Age diabetes diagnosed)</t>
  </si>
  <si>
    <t>SA_birth</t>
  </si>
  <si>
    <t>SA_enrol</t>
  </si>
  <si>
    <t>Logistic</t>
  </si>
  <si>
    <t>Eliminem aquesta gent</t>
  </si>
  <si>
    <t>Eliminem aquests pacients</t>
  </si>
  <si>
    <t>T2DM</t>
  </si>
  <si>
    <t>Eliminem aquests pacients que tinguin HbA1c &gt; 48</t>
  </si>
  <si>
    <t>Field 20009: Interpolated Year/age of the event</t>
  </si>
  <si>
    <t>39,723 / 442,272</t>
  </si>
  <si>
    <t>35,668 / 442,272</t>
  </si>
  <si>
    <t>ukb</t>
  </si>
  <si>
    <t>hes</t>
  </si>
  <si>
    <t>gp</t>
  </si>
  <si>
    <t>Eliminem als pacients que es prenguin aquestes medicines</t>
  </si>
  <si>
    <t>45,877 / 442,272</t>
  </si>
  <si>
    <t>10,37%</t>
  </si>
  <si>
    <t>Birth</t>
  </si>
  <si>
    <t>Enrolment</t>
  </si>
  <si>
    <t xml:space="preserve"> 26,491 / 423,538</t>
  </si>
  <si>
    <t>6,25%</t>
  </si>
  <si>
    <t>22,450 / 442,224</t>
  </si>
  <si>
    <t>5,07%</t>
  </si>
  <si>
    <t>Enrol</t>
  </si>
  <si>
    <t>178156 / 440,162</t>
  </si>
  <si>
    <t>39,680 / 442,229</t>
  </si>
  <si>
    <t>35,665 / 442,269</t>
  </si>
  <si>
    <t>24,587 / 431,176</t>
  </si>
  <si>
    <t>5,017 / 429,284</t>
  </si>
  <si>
    <t>54127 / 316,126</t>
  </si>
  <si>
    <t>17,12%</t>
  </si>
  <si>
    <t>7829 / 440,991</t>
  </si>
  <si>
    <t>10,613 / 430,372</t>
  </si>
  <si>
    <t>2,47%</t>
  </si>
  <si>
    <t>17280 / 414,315</t>
  </si>
  <si>
    <t>4,17%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</si>
</sst>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9"/>
      <color rgb="FF000000"/>
      <name val="Verdana"/>
      <family val="2"/>
    </font>
    <font>
      <b/>
      <sz val="1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C6EFCE"/>
        <bgColor rgb="FF000000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27" applyNumberFormat="0" applyAlignment="0" applyProtection="0"/>
  </cellStyleXfs>
  <cellXfs count="155">
    <xf numFmtId="0" fontId="0" fillId="0" borderId="0" xfId="0"/>
    <xf numFmtId="0" fontId="0" fillId="0" borderId="21" xfId="0" applyFill="1" applyBorder="1"/>
    <xf numFmtId="0" fontId="0" fillId="0" borderId="20" xfId="0" applyFill="1" applyBorder="1"/>
    <xf numFmtId="0" fontId="0" fillId="0" borderId="19" xfId="0" applyFill="1" applyBorder="1"/>
    <xf numFmtId="0" fontId="0" fillId="0" borderId="18" xfId="0" applyFill="1" applyBorder="1"/>
    <xf numFmtId="0" fontId="0" fillId="0" borderId="17" xfId="0" applyFill="1" applyBorder="1"/>
    <xf numFmtId="0" fontId="0" fillId="0" borderId="16" xfId="0" applyFill="1" applyBorder="1"/>
    <xf numFmtId="0" fontId="0" fillId="0" borderId="7" xfId="0" applyFill="1" applyBorder="1"/>
    <xf numFmtId="0" fontId="0" fillId="0" borderId="0" xfId="0" applyFill="1"/>
    <xf numFmtId="0" fontId="0" fillId="0" borderId="8" xfId="0" applyFill="1" applyBorder="1"/>
    <xf numFmtId="0" fontId="4" fillId="0" borderId="8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4" fillId="0" borderId="6" xfId="0" applyFont="1" applyFill="1" applyBorder="1"/>
    <xf numFmtId="0" fontId="0" fillId="0" borderId="6" xfId="0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8" xfId="0" applyFont="1" applyFill="1" applyBorder="1"/>
    <xf numFmtId="49" fontId="3" fillId="3" borderId="12" xfId="1" applyNumberFormat="1" applyFont="1" applyFill="1" applyBorder="1"/>
    <xf numFmtId="49" fontId="3" fillId="3" borderId="11" xfId="1" applyNumberFormat="1" applyFont="1" applyFill="1" applyBorder="1"/>
    <xf numFmtId="49" fontId="3" fillId="3" borderId="10" xfId="1" applyNumberFormat="1" applyFont="1" applyFill="1" applyBorder="1"/>
    <xf numFmtId="0" fontId="1" fillId="3" borderId="12" xfId="0" applyFont="1" applyFill="1" applyBorder="1"/>
    <xf numFmtId="0" fontId="1" fillId="3" borderId="11" xfId="0" applyFont="1" applyFill="1" applyBorder="1"/>
    <xf numFmtId="0" fontId="1" fillId="3" borderId="10" xfId="0" applyFont="1" applyFill="1" applyBorder="1"/>
    <xf numFmtId="49" fontId="3" fillId="3" borderId="24" xfId="1" applyNumberFormat="1" applyFont="1" applyFill="1" applyBorder="1"/>
    <xf numFmtId="49" fontId="3" fillId="3" borderId="25" xfId="1" applyNumberFormat="1" applyFont="1" applyFill="1" applyBorder="1"/>
    <xf numFmtId="49" fontId="3" fillId="3" borderId="26" xfId="1" applyNumberFormat="1" applyFont="1" applyFill="1" applyBorder="1"/>
    <xf numFmtId="0" fontId="1" fillId="3" borderId="26" xfId="0" applyFont="1" applyFill="1" applyBorder="1"/>
    <xf numFmtId="0" fontId="0" fillId="0" borderId="7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6" fillId="0" borderId="0" xfId="0" applyFont="1" applyFill="1" applyAlignment="1">
      <alignment vertical="center"/>
    </xf>
    <xf numFmtId="0" fontId="6" fillId="0" borderId="7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8" fillId="0" borderId="6" xfId="0" applyFont="1" applyFill="1" applyBorder="1"/>
    <xf numFmtId="0" fontId="0" fillId="0" borderId="26" xfId="0" applyFill="1" applyBorder="1"/>
    <xf numFmtId="0" fontId="6" fillId="0" borderId="7" xfId="0" applyFont="1" applyFill="1" applyBorder="1" applyAlignment="1">
      <alignment horizontal="right" vertical="top"/>
    </xf>
    <xf numFmtId="49" fontId="0" fillId="0" borderId="0" xfId="0" applyNumberFormat="1" applyFont="1" applyFill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8" xfId="0" applyNumberFormat="1" applyFont="1" applyFill="1" applyBorder="1"/>
    <xf numFmtId="0" fontId="0" fillId="0" borderId="8" xfId="0" applyFont="1" applyFill="1" applyBorder="1"/>
    <xf numFmtId="0" fontId="0" fillId="0" borderId="0" xfId="0" applyFont="1"/>
    <xf numFmtId="0" fontId="9" fillId="0" borderId="0" xfId="0" applyFont="1" applyFill="1" applyAlignment="1">
      <alignment vertical="top"/>
    </xf>
    <xf numFmtId="0" fontId="9" fillId="0" borderId="8" xfId="0" applyFont="1" applyFill="1" applyBorder="1" applyAlignment="1">
      <alignment vertical="center"/>
    </xf>
    <xf numFmtId="49" fontId="9" fillId="0" borderId="0" xfId="0" applyNumberFormat="1" applyFont="1" applyFill="1" applyAlignment="1">
      <alignment vertical="center"/>
    </xf>
    <xf numFmtId="49" fontId="9" fillId="0" borderId="8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0" borderId="5" xfId="0" applyFont="1" applyFill="1" applyBorder="1" applyAlignment="1">
      <alignment vertical="top"/>
    </xf>
    <xf numFmtId="0" fontId="9" fillId="0" borderId="5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7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49" fontId="0" fillId="0" borderId="7" xfId="0" applyNumberFormat="1" applyFont="1" applyFill="1" applyBorder="1" applyAlignment="1">
      <alignment horizontal="left" vertical="center"/>
    </xf>
    <xf numFmtId="49" fontId="0" fillId="0" borderId="7" xfId="0" applyNumberFormat="1" applyFont="1" applyFill="1" applyBorder="1" applyAlignment="1">
      <alignment horizontal="left"/>
    </xf>
    <xf numFmtId="0" fontId="9" fillId="0" borderId="4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3" borderId="26" xfId="0" applyFill="1" applyBorder="1"/>
    <xf numFmtId="0" fontId="0" fillId="0" borderId="8" xfId="0" applyBorder="1"/>
    <xf numFmtId="0" fontId="0" fillId="0" borderId="0" xfId="0" applyFill="1" applyBorder="1"/>
    <xf numFmtId="0" fontId="0" fillId="0" borderId="24" xfId="0" applyFill="1" applyBorder="1"/>
    <xf numFmtId="0" fontId="0" fillId="0" borderId="25" xfId="0" applyFill="1" applyBorder="1"/>
    <xf numFmtId="0" fontId="1" fillId="3" borderId="12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1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Border="1"/>
    <xf numFmtId="0" fontId="0" fillId="0" borderId="0" xfId="0" applyFill="1" applyBorder="1" applyAlignment="1"/>
    <xf numFmtId="3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/>
    <xf numFmtId="10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4" borderId="28" xfId="0" applyFill="1" applyBorder="1"/>
    <xf numFmtId="0" fontId="10" fillId="5" borderId="0" xfId="2"/>
    <xf numFmtId="0" fontId="11" fillId="6" borderId="0" xfId="3"/>
    <xf numFmtId="0" fontId="10" fillId="5" borderId="0" xfId="2" applyAlignment="1">
      <alignment wrapText="1"/>
    </xf>
    <xf numFmtId="0" fontId="11" fillId="6" borderId="0" xfId="3" applyBorder="1"/>
    <xf numFmtId="0" fontId="10" fillId="5" borderId="0" xfId="2" applyBorder="1"/>
    <xf numFmtId="0" fontId="12" fillId="7" borderId="0" xfId="4" applyBorder="1"/>
    <xf numFmtId="0" fontId="10" fillId="8" borderId="0" xfId="0" applyFont="1" applyFill="1" applyAlignment="1">
      <alignment vertical="top"/>
    </xf>
    <xf numFmtId="0" fontId="0" fillId="9" borderId="0" xfId="0" applyFill="1"/>
    <xf numFmtId="0" fontId="9" fillId="0" borderId="0" xfId="2" applyFont="1" applyFill="1"/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1" fillId="6" borderId="0" xfId="3" applyAlignment="1">
      <alignment horizontal="center" vertical="top" wrapText="1"/>
    </xf>
    <xf numFmtId="0" fontId="10" fillId="8" borderId="0" xfId="0" applyFont="1" applyFill="1" applyAlignment="1">
      <alignment horizontal="center" vertical="top" wrapText="1"/>
    </xf>
    <xf numFmtId="0" fontId="10" fillId="5" borderId="7" xfId="2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2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11" fillId="6" borderId="0" xfId="3" applyAlignment="1">
      <alignment horizontal="center" wrapText="1"/>
    </xf>
    <xf numFmtId="0" fontId="10" fillId="5" borderId="0" xfId="2" applyAlignment="1">
      <alignment horizontal="center" vertical="center"/>
    </xf>
  </cellXfs>
  <cellStyles count="5">
    <cellStyle name="Bad" xfId="3" builtinId="27"/>
    <cellStyle name="Good" xfId="2" builtinId="26"/>
    <cellStyle name="Input" xfId="4" builtinId="20"/>
    <cellStyle name="Normal" xfId="0" builtinId="0"/>
    <cellStyle name="Normal 3" xfId="1" xr:uid="{510D4DE1-BFBE-4541-87EA-794664FD4146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FF6FB"/>
      <color rgb="FFF2F8EE"/>
      <color rgb="FFFFF8E5"/>
      <color rgb="FFFFF5D9"/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578305</xdr:colOff>
      <xdr:row>7</xdr:row>
      <xdr:rowOff>142875</xdr:rowOff>
    </xdr:from>
    <xdr:to>
      <xdr:col>16</xdr:col>
      <xdr:colOff>47626</xdr:colOff>
      <xdr:row>28</xdr:row>
      <xdr:rowOff>155256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12E8F-6AB1-41AF-8574-B1C233BB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4091" y="1666875"/>
          <a:ext cx="4000499" cy="3870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285748</xdr:colOff>
      <xdr:row>6</xdr:row>
      <xdr:rowOff>125141</xdr:rowOff>
    </xdr:from>
    <xdr:to>
      <xdr:col>18</xdr:col>
      <xdr:colOff>639535</xdr:colOff>
      <xdr:row>27</xdr:row>
      <xdr:rowOff>110962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3F8A8-354E-4C9B-A3B2-2ABA59C8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0231" y="1683160"/>
          <a:ext cx="4878161" cy="40203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325846</xdr:colOff>
      <xdr:row>9</xdr:row>
      <xdr:rowOff>135731</xdr:rowOff>
    </xdr:from>
    <xdr:to>
      <xdr:col>16</xdr:col>
      <xdr:colOff>297658</xdr:colOff>
      <xdr:row>29</xdr:row>
      <xdr:rowOff>69671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D12D5F-3743-CBE8-0BD2-C0E5B55F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2159" y="2362201"/>
          <a:ext cx="4472374" cy="36963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587545</xdr:colOff>
      <xdr:row>9</xdr:row>
      <xdr:rowOff>152398</xdr:rowOff>
    </xdr:from>
    <xdr:to>
      <xdr:col>19</xdr:col>
      <xdr:colOff>88195</xdr:colOff>
      <xdr:row>28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0882D6-D2F6-69C5-E02E-A6F388FE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3745" y="2276474"/>
          <a:ext cx="5329950" cy="36004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16</xdr:row>
      <xdr:rowOff>152400</xdr:rowOff>
    </xdr:from>
    <xdr:to>
      <xdr:col>16</xdr:col>
      <xdr:colOff>567190</xdr:colOff>
      <xdr:row>35</xdr:row>
      <xdr:rowOff>46351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066C2-86A8-4353-ADA7-DE880B206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0575" y="3895725"/>
          <a:ext cx="4853440" cy="36563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367618</xdr:colOff>
      <xdr:row>9</xdr:row>
      <xdr:rowOff>152399</xdr:rowOff>
    </xdr:from>
    <xdr:to>
      <xdr:col>19</xdr:col>
      <xdr:colOff>93516</xdr:colOff>
      <xdr:row>34</xdr:row>
      <xdr:rowOff>122568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A3DECC-879B-9981-96CA-D3FF7522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92994" y="2314575"/>
          <a:ext cx="6202898" cy="4494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7E55-058A-4869-86D9-59F194B743A8}">
  <dimension ref="A1:AA10"/>
  <sheetViews>
    <sheetView zoomScale="70" zoomScaleNormal="70" workbookViewId="0">
      <selection activeCell="C4" sqref="C4"/>
    </sheetView>
  </sheetViews>
  <sheetFormatPr defaultRowHeight="15" x14ac:dyDescent="0.25"/>
  <cols>
    <col min="1" max="1" width="11.140625" customWidth="1"/>
    <col min="3" max="3" width="38.7109375" customWidth="1"/>
    <col min="6" max="6" width="13.140625" customWidth="1"/>
    <col min="7" max="7" width="14" customWidth="1"/>
    <col min="11" max="11" width="9.140625" customWidth="1"/>
  </cols>
  <sheetData>
    <row r="1" spans="1:27" ht="15.75" thickBot="1" x14ac:dyDescent="0.3">
      <c r="A1" s="105" t="s">
        <v>1109</v>
      </c>
      <c r="B1" s="105"/>
      <c r="C1" s="105"/>
      <c r="D1" s="86" t="s">
        <v>1130</v>
      </c>
      <c r="E1" s="86" t="s">
        <v>1128</v>
      </c>
      <c r="F1" s="86" t="s">
        <v>1129</v>
      </c>
      <c r="I1" s="71"/>
    </row>
    <row r="2" spans="1:27" ht="22.5" customHeight="1" x14ac:dyDescent="0.25">
      <c r="A2" s="106" t="s">
        <v>1107</v>
      </c>
      <c r="B2" s="107"/>
      <c r="C2" s="108"/>
      <c r="F2" s="82"/>
      <c r="G2" s="82"/>
      <c r="I2" s="71"/>
    </row>
    <row r="3" spans="1:27" x14ac:dyDescent="0.25">
      <c r="A3" s="30" t="s">
        <v>95</v>
      </c>
      <c r="B3" s="31"/>
      <c r="C3" s="23" t="s">
        <v>94</v>
      </c>
      <c r="F3" s="72"/>
      <c r="G3" s="72"/>
      <c r="I3" s="71"/>
    </row>
    <row r="4" spans="1:27" ht="15.75" customHeight="1" thickBot="1" x14ac:dyDescent="0.3">
      <c r="A4" s="11" t="s">
        <v>586</v>
      </c>
      <c r="B4" s="12"/>
      <c r="C4" s="13" t="s">
        <v>587</v>
      </c>
      <c r="D4" s="94">
        <v>35531</v>
      </c>
      <c r="E4" t="s">
        <v>1125</v>
      </c>
      <c r="F4" t="s">
        <v>1125</v>
      </c>
      <c r="G4" s="76"/>
      <c r="H4" s="83"/>
      <c r="I4" s="83"/>
    </row>
    <row r="5" spans="1:27" ht="24" customHeight="1" thickBot="1" x14ac:dyDescent="0.3">
      <c r="A5" s="106" t="s">
        <v>1108</v>
      </c>
      <c r="B5" s="107"/>
      <c r="C5" s="108"/>
      <c r="G5" s="85"/>
      <c r="H5" s="78"/>
      <c r="I5" s="73"/>
      <c r="L5" s="96" t="s">
        <v>1130</v>
      </c>
      <c r="M5" s="97"/>
      <c r="N5" s="97"/>
      <c r="O5" s="98"/>
      <c r="R5" s="96" t="s">
        <v>1144</v>
      </c>
      <c r="S5" s="97"/>
      <c r="T5" s="97"/>
      <c r="U5" s="98"/>
      <c r="X5" s="96" t="s">
        <v>1145</v>
      </c>
      <c r="Y5" s="97"/>
      <c r="Z5" s="97"/>
      <c r="AA5" s="98"/>
    </row>
    <row r="6" spans="1:27" x14ac:dyDescent="0.25">
      <c r="A6" s="18" t="s">
        <v>96</v>
      </c>
      <c r="B6" s="19" t="s">
        <v>95</v>
      </c>
      <c r="C6" s="20" t="s">
        <v>94</v>
      </c>
      <c r="G6" s="85"/>
      <c r="H6" s="84"/>
      <c r="I6" s="85"/>
      <c r="L6" s="99" t="s">
        <v>1109</v>
      </c>
      <c r="M6" s="100"/>
      <c r="N6" s="103" t="s">
        <v>1137</v>
      </c>
      <c r="O6" s="100"/>
      <c r="R6" s="99" t="s">
        <v>1109</v>
      </c>
      <c r="S6" s="100"/>
      <c r="T6" s="103" t="s">
        <v>1153</v>
      </c>
      <c r="U6" s="100"/>
      <c r="X6" s="99" t="s">
        <v>1109</v>
      </c>
      <c r="Y6" s="100"/>
      <c r="Z6" s="103" t="s">
        <v>1154</v>
      </c>
      <c r="AA6" s="100"/>
    </row>
    <row r="7" spans="1:27" ht="15.75" thickBot="1" x14ac:dyDescent="0.3">
      <c r="A7" s="7" t="s">
        <v>588</v>
      </c>
      <c r="B7" s="65" t="s">
        <v>586</v>
      </c>
      <c r="C7" s="9" t="s">
        <v>589</v>
      </c>
      <c r="D7" s="94">
        <v>735</v>
      </c>
      <c r="E7" t="s">
        <v>1125</v>
      </c>
      <c r="F7" t="s">
        <v>1125</v>
      </c>
      <c r="G7" s="75"/>
      <c r="L7" s="101"/>
      <c r="M7" s="102"/>
      <c r="N7" s="104">
        <v>8.0600000000000005E-2</v>
      </c>
      <c r="O7" s="102"/>
      <c r="R7" s="101"/>
      <c r="S7" s="102"/>
      <c r="T7" s="104">
        <v>8.0600000000000005E-2</v>
      </c>
      <c r="U7" s="102"/>
      <c r="X7" s="101"/>
      <c r="Y7" s="102"/>
      <c r="Z7" s="104">
        <v>5.7000000000000002E-2</v>
      </c>
      <c r="AA7" s="102"/>
    </row>
    <row r="8" spans="1:27" x14ac:dyDescent="0.25">
      <c r="A8" s="7" t="s">
        <v>590</v>
      </c>
      <c r="B8" s="65" t="s">
        <v>586</v>
      </c>
      <c r="C8" s="9" t="s">
        <v>591</v>
      </c>
      <c r="D8" s="94">
        <v>0</v>
      </c>
      <c r="E8" t="s">
        <v>1125</v>
      </c>
      <c r="F8" t="s">
        <v>1125</v>
      </c>
    </row>
    <row r="9" spans="1:27" x14ac:dyDescent="0.25">
      <c r="A9" s="7" t="s">
        <v>592</v>
      </c>
      <c r="B9" s="65" t="s">
        <v>586</v>
      </c>
      <c r="C9" s="9" t="s">
        <v>593</v>
      </c>
      <c r="D9" s="94">
        <v>221</v>
      </c>
      <c r="E9" t="s">
        <v>1125</v>
      </c>
      <c r="F9" t="s">
        <v>1125</v>
      </c>
    </row>
    <row r="10" spans="1:27" ht="15.75" thickBot="1" x14ac:dyDescent="0.3">
      <c r="A10" s="11" t="s">
        <v>594</v>
      </c>
      <c r="B10" s="12" t="s">
        <v>586</v>
      </c>
      <c r="C10" s="14" t="s">
        <v>595</v>
      </c>
      <c r="D10" s="94">
        <v>3</v>
      </c>
      <c r="E10" t="s">
        <v>1125</v>
      </c>
      <c r="F10" t="s">
        <v>1125</v>
      </c>
    </row>
  </sheetData>
  <mergeCells count="15">
    <mergeCell ref="A1:C1"/>
    <mergeCell ref="A2:C2"/>
    <mergeCell ref="A5:C5"/>
    <mergeCell ref="L6:M7"/>
    <mergeCell ref="N6:O6"/>
    <mergeCell ref="N7:O7"/>
    <mergeCell ref="L5:O5"/>
    <mergeCell ref="R5:U5"/>
    <mergeCell ref="R6:S7"/>
    <mergeCell ref="T6:U6"/>
    <mergeCell ref="T7:U7"/>
    <mergeCell ref="X5:AA5"/>
    <mergeCell ref="X6:Y7"/>
    <mergeCell ref="Z6:AA6"/>
    <mergeCell ref="Z7:AA7"/>
  </mergeCells>
  <conditionalFormatting sqref="E2:E10">
    <cfRule type="cellIs" dxfId="3" priority="3" operator="equal">
      <formula>"SI"</formula>
    </cfRule>
  </conditionalFormatting>
  <conditionalFormatting sqref="D4:D10">
    <cfRule type="cellIs" dxfId="2" priority="2" operator="equal">
      <formula>"SI"</formula>
    </cfRule>
  </conditionalFormatting>
  <conditionalFormatting sqref="F4:F10">
    <cfRule type="cellIs" dxfId="1" priority="1" operator="equal">
      <formula>"SI"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CD95-4F52-4DBA-B00F-BE395EA14FCC}">
  <dimension ref="A1:AD282"/>
  <sheetViews>
    <sheetView zoomScaleNormal="100" workbookViewId="0">
      <selection activeCell="E4" sqref="E4"/>
    </sheetView>
  </sheetViews>
  <sheetFormatPr defaultRowHeight="15" x14ac:dyDescent="0.25"/>
  <cols>
    <col min="3" max="3" width="61" customWidth="1"/>
  </cols>
  <sheetData>
    <row r="1" spans="1:30" ht="30" customHeight="1" thickBot="1" x14ac:dyDescent="0.3">
      <c r="A1" s="122" t="s">
        <v>1110</v>
      </c>
      <c r="B1" s="123"/>
      <c r="C1" s="124"/>
      <c r="D1" s="86" t="s">
        <v>1130</v>
      </c>
      <c r="E1" s="86" t="s">
        <v>1128</v>
      </c>
      <c r="F1" s="86" t="s">
        <v>1129</v>
      </c>
    </row>
    <row r="2" spans="1:30" ht="22.5" customHeight="1" x14ac:dyDescent="0.25">
      <c r="A2" s="116" t="s">
        <v>1111</v>
      </c>
      <c r="B2" s="117"/>
      <c r="C2" s="118"/>
    </row>
    <row r="3" spans="1:30" ht="15.75" thickBot="1" x14ac:dyDescent="0.3">
      <c r="A3" s="68" t="s">
        <v>113</v>
      </c>
      <c r="B3" s="69" t="s">
        <v>95</v>
      </c>
      <c r="C3" s="70" t="s">
        <v>94</v>
      </c>
    </row>
    <row r="4" spans="1:30" ht="15" customHeight="1" thickBot="1" x14ac:dyDescent="0.3">
      <c r="A4" s="66">
        <v>3005</v>
      </c>
      <c r="B4" s="67"/>
      <c r="C4" s="38" t="s">
        <v>596</v>
      </c>
      <c r="D4" s="87">
        <v>27822</v>
      </c>
      <c r="E4" s="89" t="s">
        <v>1126</v>
      </c>
      <c r="F4" s="88" t="s">
        <v>1131</v>
      </c>
      <c r="N4" s="109" t="s">
        <v>1130</v>
      </c>
      <c r="O4" s="110"/>
      <c r="P4" s="110"/>
      <c r="Q4" s="111"/>
      <c r="U4" s="109" t="s">
        <v>1144</v>
      </c>
      <c r="V4" s="110"/>
      <c r="W4" s="110"/>
      <c r="X4" s="111"/>
      <c r="AA4" s="109" t="s">
        <v>1150</v>
      </c>
      <c r="AB4" s="110"/>
      <c r="AC4" s="110"/>
      <c r="AD4" s="111"/>
    </row>
    <row r="5" spans="1:30" ht="26.25" customHeight="1" x14ac:dyDescent="0.25">
      <c r="A5" s="125" t="s">
        <v>1112</v>
      </c>
      <c r="B5" s="126"/>
      <c r="C5" s="127"/>
      <c r="N5" s="99" t="s">
        <v>1110</v>
      </c>
      <c r="O5" s="100"/>
      <c r="P5" s="103" t="s">
        <v>1136</v>
      </c>
      <c r="Q5" s="100"/>
      <c r="U5" s="99" t="s">
        <v>1110</v>
      </c>
      <c r="V5" s="100"/>
      <c r="W5" s="112" t="s">
        <v>1152</v>
      </c>
      <c r="X5" s="113"/>
      <c r="AA5" s="99" t="s">
        <v>1110</v>
      </c>
      <c r="AB5" s="100"/>
      <c r="AC5" s="103" t="s">
        <v>1155</v>
      </c>
      <c r="AD5" s="100"/>
    </row>
    <row r="6" spans="1:30" ht="15.75" thickBot="1" x14ac:dyDescent="0.3">
      <c r="A6" s="15" t="s">
        <v>113</v>
      </c>
      <c r="B6" s="16" t="s">
        <v>95</v>
      </c>
      <c r="C6" s="17" t="s">
        <v>94</v>
      </c>
      <c r="N6" s="101"/>
      <c r="O6" s="102"/>
      <c r="P6" s="104">
        <v>8.9800000000000005E-2</v>
      </c>
      <c r="Q6" s="102"/>
      <c r="U6" s="101"/>
      <c r="V6" s="102"/>
      <c r="W6" s="114">
        <v>8.9700000000000002E-2</v>
      </c>
      <c r="X6" s="115"/>
      <c r="AA6" s="101"/>
      <c r="AB6" s="102"/>
      <c r="AC6" s="104">
        <v>1.17E-2</v>
      </c>
      <c r="AD6" s="102"/>
    </row>
    <row r="7" spans="1:30" ht="15" customHeight="1" x14ac:dyDescent="0.25">
      <c r="A7" s="7">
        <v>20002</v>
      </c>
      <c r="B7" s="8">
        <v>1632</v>
      </c>
      <c r="C7" s="9" t="s">
        <v>597</v>
      </c>
      <c r="D7" s="121">
        <v>4416</v>
      </c>
      <c r="E7" s="120" t="s">
        <v>1135</v>
      </c>
      <c r="F7" s="119" t="s">
        <v>1131</v>
      </c>
    </row>
    <row r="8" spans="1:30" x14ac:dyDescent="0.25">
      <c r="A8" s="7">
        <v>20002</v>
      </c>
      <c r="B8" s="8">
        <v>1633</v>
      </c>
      <c r="C8" s="9" t="s">
        <v>598</v>
      </c>
      <c r="D8" s="121"/>
      <c r="E8" s="120"/>
      <c r="F8" s="119"/>
    </row>
    <row r="9" spans="1:30" x14ac:dyDescent="0.25">
      <c r="A9" s="7">
        <v>20002</v>
      </c>
      <c r="B9" s="8">
        <v>1634</v>
      </c>
      <c r="C9" s="9" t="s">
        <v>599</v>
      </c>
      <c r="D9" s="121"/>
      <c r="E9" s="120"/>
      <c r="F9" s="119"/>
    </row>
    <row r="10" spans="1:30" x14ac:dyDescent="0.25">
      <c r="A10" s="7">
        <v>20002</v>
      </c>
      <c r="B10" s="8">
        <v>1635</v>
      </c>
      <c r="C10" s="9" t="s">
        <v>600</v>
      </c>
      <c r="D10" s="121"/>
      <c r="E10" s="120"/>
      <c r="F10" s="119"/>
    </row>
    <row r="11" spans="1:30" x14ac:dyDescent="0.25">
      <c r="A11" s="7">
        <v>20002</v>
      </c>
      <c r="B11" s="8">
        <v>1637</v>
      </c>
      <c r="C11" s="9" t="s">
        <v>601</v>
      </c>
      <c r="D11" s="121"/>
      <c r="E11" s="120"/>
      <c r="F11" s="119"/>
    </row>
    <row r="12" spans="1:30" x14ac:dyDescent="0.25">
      <c r="A12" s="7">
        <v>20002</v>
      </c>
      <c r="B12" s="8">
        <v>1644</v>
      </c>
      <c r="C12" s="9" t="s">
        <v>602</v>
      </c>
      <c r="D12" s="121"/>
      <c r="E12" s="120"/>
      <c r="F12" s="119"/>
    </row>
    <row r="13" spans="1:30" x14ac:dyDescent="0.25">
      <c r="A13" s="7">
        <v>20002</v>
      </c>
      <c r="B13" s="8">
        <v>1646</v>
      </c>
      <c r="C13" s="9" t="s">
        <v>603</v>
      </c>
      <c r="D13" s="121"/>
      <c r="E13" s="120"/>
      <c r="F13" s="119"/>
    </row>
    <row r="14" spans="1:30" x14ac:dyDescent="0.25">
      <c r="A14" s="7">
        <v>20002</v>
      </c>
      <c r="B14" s="8">
        <v>1647</v>
      </c>
      <c r="C14" s="9" t="s">
        <v>604</v>
      </c>
      <c r="D14" s="121"/>
      <c r="E14" s="120"/>
      <c r="F14" s="119"/>
    </row>
    <row r="15" spans="1:30" ht="15.75" thickBot="1" x14ac:dyDescent="0.3">
      <c r="A15" s="11">
        <v>20002</v>
      </c>
      <c r="B15" s="12">
        <v>1648</v>
      </c>
      <c r="C15" s="14" t="s">
        <v>605</v>
      </c>
      <c r="D15" s="121"/>
      <c r="E15" s="120"/>
      <c r="F15" s="119"/>
    </row>
    <row r="16" spans="1:30" ht="27.75" customHeight="1" x14ac:dyDescent="0.25">
      <c r="A16" s="116" t="s">
        <v>1107</v>
      </c>
      <c r="B16" s="117"/>
      <c r="C16" s="118"/>
    </row>
    <row r="17" spans="1:6" x14ac:dyDescent="0.25">
      <c r="A17" s="61" t="s">
        <v>95</v>
      </c>
      <c r="B17" s="62"/>
      <c r="C17" s="27" t="s">
        <v>94</v>
      </c>
    </row>
    <row r="18" spans="1:6" x14ac:dyDescent="0.25">
      <c r="A18" s="7" t="s">
        <v>606</v>
      </c>
      <c r="B18" s="8"/>
      <c r="C18" s="9" t="s">
        <v>607</v>
      </c>
      <c r="D18" s="87">
        <v>309</v>
      </c>
      <c r="E18" s="87"/>
      <c r="F18" s="87"/>
    </row>
    <row r="19" spans="1:6" x14ac:dyDescent="0.25">
      <c r="A19" s="7" t="s">
        <v>608</v>
      </c>
      <c r="B19" s="8"/>
      <c r="C19" s="9" t="s">
        <v>609</v>
      </c>
      <c r="D19" s="87">
        <v>49</v>
      </c>
      <c r="E19" s="87"/>
      <c r="F19" s="87"/>
    </row>
    <row r="20" spans="1:6" x14ac:dyDescent="0.25">
      <c r="A20" s="7" t="s">
        <v>610</v>
      </c>
      <c r="B20" s="8"/>
      <c r="C20" s="9" t="s">
        <v>611</v>
      </c>
      <c r="D20" s="87">
        <v>18</v>
      </c>
      <c r="E20" s="87"/>
      <c r="F20" s="87"/>
    </row>
    <row r="21" spans="1:6" x14ac:dyDescent="0.25">
      <c r="A21" s="7" t="s">
        <v>612</v>
      </c>
      <c r="B21" s="8"/>
      <c r="C21" s="9" t="s">
        <v>613</v>
      </c>
      <c r="D21" s="87">
        <v>19</v>
      </c>
      <c r="E21" s="87"/>
      <c r="F21" s="87"/>
    </row>
    <row r="22" spans="1:6" x14ac:dyDescent="0.25">
      <c r="A22" s="7" t="s">
        <v>614</v>
      </c>
      <c r="B22" s="8"/>
      <c r="C22" s="9" t="s">
        <v>615</v>
      </c>
      <c r="D22" s="87">
        <v>14</v>
      </c>
      <c r="E22" s="87"/>
      <c r="F22" s="87"/>
    </row>
    <row r="23" spans="1:6" x14ac:dyDescent="0.25">
      <c r="A23" s="7" t="s">
        <v>616</v>
      </c>
      <c r="B23" s="8"/>
      <c r="C23" s="9" t="s">
        <v>617</v>
      </c>
      <c r="D23" s="87">
        <v>21</v>
      </c>
      <c r="E23" s="87"/>
      <c r="F23" s="87"/>
    </row>
    <row r="24" spans="1:6" x14ac:dyDescent="0.25">
      <c r="A24" s="7" t="s">
        <v>618</v>
      </c>
      <c r="B24" s="8"/>
      <c r="C24" s="9" t="s">
        <v>619</v>
      </c>
      <c r="D24" s="87">
        <v>2</v>
      </c>
      <c r="E24" s="87"/>
      <c r="F24" s="87"/>
    </row>
    <row r="25" spans="1:6" x14ac:dyDescent="0.25">
      <c r="A25" s="7" t="s">
        <v>620</v>
      </c>
      <c r="B25" s="8"/>
      <c r="C25" s="9" t="s">
        <v>621</v>
      </c>
      <c r="D25" s="87">
        <v>7</v>
      </c>
      <c r="E25" s="87"/>
      <c r="F25" s="87"/>
    </row>
    <row r="26" spans="1:6" x14ac:dyDescent="0.25">
      <c r="A26" s="7" t="s">
        <v>622</v>
      </c>
      <c r="B26" s="8"/>
      <c r="C26" s="9" t="s">
        <v>623</v>
      </c>
      <c r="D26" s="87">
        <v>49</v>
      </c>
      <c r="E26" s="87"/>
      <c r="F26" s="87"/>
    </row>
    <row r="27" spans="1:6" x14ac:dyDescent="0.25">
      <c r="A27" s="7" t="s">
        <v>624</v>
      </c>
      <c r="B27" s="8"/>
      <c r="C27" s="9" t="s">
        <v>625</v>
      </c>
      <c r="D27" s="87">
        <v>123</v>
      </c>
      <c r="E27" s="87"/>
      <c r="F27" s="87"/>
    </row>
    <row r="28" spans="1:6" x14ac:dyDescent="0.25">
      <c r="A28" s="7" t="s">
        <v>626</v>
      </c>
      <c r="B28" s="8"/>
      <c r="C28" s="9" t="s">
        <v>627</v>
      </c>
      <c r="D28" s="87">
        <v>20</v>
      </c>
      <c r="E28" s="87"/>
      <c r="F28" s="87"/>
    </row>
    <row r="29" spans="1:6" x14ac:dyDescent="0.25">
      <c r="A29" s="7" t="s">
        <v>628</v>
      </c>
      <c r="B29" s="8"/>
      <c r="C29" s="9" t="s">
        <v>629</v>
      </c>
      <c r="D29" s="87">
        <v>205</v>
      </c>
      <c r="E29" s="87"/>
      <c r="F29" s="87"/>
    </row>
    <row r="30" spans="1:6" x14ac:dyDescent="0.25">
      <c r="A30" s="7" t="s">
        <v>630</v>
      </c>
      <c r="B30" s="8"/>
      <c r="C30" s="9" t="s">
        <v>631</v>
      </c>
      <c r="D30" s="87">
        <v>78</v>
      </c>
      <c r="E30" s="87"/>
      <c r="F30" s="87"/>
    </row>
    <row r="31" spans="1:6" x14ac:dyDescent="0.25">
      <c r="A31" s="7" t="s">
        <v>632</v>
      </c>
      <c r="B31" s="8"/>
      <c r="C31" s="9" t="s">
        <v>633</v>
      </c>
      <c r="D31" s="87">
        <v>4</v>
      </c>
      <c r="E31" s="87"/>
      <c r="F31" s="87"/>
    </row>
    <row r="32" spans="1:6" x14ac:dyDescent="0.25">
      <c r="A32" s="7" t="s">
        <v>634</v>
      </c>
      <c r="B32" s="8"/>
      <c r="C32" s="9" t="s">
        <v>635</v>
      </c>
      <c r="D32" s="87">
        <v>111</v>
      </c>
      <c r="E32" s="87"/>
      <c r="F32" s="87"/>
    </row>
    <row r="33" spans="1:6" x14ac:dyDescent="0.25">
      <c r="A33" s="7" t="s">
        <v>636</v>
      </c>
      <c r="B33" s="8"/>
      <c r="C33" s="9" t="s">
        <v>637</v>
      </c>
      <c r="D33" s="87">
        <v>20</v>
      </c>
      <c r="E33" s="87"/>
      <c r="F33" s="87"/>
    </row>
    <row r="34" spans="1:6" x14ac:dyDescent="0.25">
      <c r="A34" s="7" t="s">
        <v>638</v>
      </c>
      <c r="B34" s="8"/>
      <c r="C34" s="9" t="s">
        <v>639</v>
      </c>
      <c r="D34" s="87">
        <v>147</v>
      </c>
      <c r="E34" s="87"/>
      <c r="F34" s="87"/>
    </row>
    <row r="35" spans="1:6" x14ac:dyDescent="0.25">
      <c r="A35" s="7" t="s">
        <v>640</v>
      </c>
      <c r="B35" s="8"/>
      <c r="C35" s="9" t="s">
        <v>641</v>
      </c>
      <c r="D35" s="87">
        <v>150</v>
      </c>
      <c r="E35" s="87"/>
      <c r="F35" s="87"/>
    </row>
    <row r="36" spans="1:6" x14ac:dyDescent="0.25">
      <c r="A36" s="7" t="s">
        <v>642</v>
      </c>
      <c r="B36" s="8"/>
      <c r="C36" s="9" t="s">
        <v>643</v>
      </c>
      <c r="D36" s="87">
        <v>194</v>
      </c>
      <c r="E36" s="87"/>
      <c r="F36" s="87"/>
    </row>
    <row r="37" spans="1:6" x14ac:dyDescent="0.25">
      <c r="A37" s="7" t="s">
        <v>644</v>
      </c>
      <c r="B37" s="8"/>
      <c r="C37" s="9" t="s">
        <v>645</v>
      </c>
      <c r="D37" s="87">
        <v>17</v>
      </c>
      <c r="E37" s="87"/>
      <c r="F37" s="87"/>
    </row>
    <row r="38" spans="1:6" x14ac:dyDescent="0.25">
      <c r="A38" s="7" t="s">
        <v>646</v>
      </c>
      <c r="B38" s="8"/>
      <c r="C38" s="9" t="s">
        <v>647</v>
      </c>
      <c r="D38" s="87">
        <v>11</v>
      </c>
      <c r="E38" s="87"/>
      <c r="F38" s="87"/>
    </row>
    <row r="39" spans="1:6" x14ac:dyDescent="0.25">
      <c r="A39" s="7" t="s">
        <v>648</v>
      </c>
      <c r="B39" s="8"/>
      <c r="C39" s="9" t="s">
        <v>649</v>
      </c>
      <c r="D39" s="87">
        <v>14</v>
      </c>
      <c r="E39" s="87"/>
      <c r="F39" s="87"/>
    </row>
    <row r="40" spans="1:6" x14ac:dyDescent="0.25">
      <c r="A40" s="7" t="s">
        <v>650</v>
      </c>
      <c r="B40" s="8"/>
      <c r="C40" s="9" t="s">
        <v>651</v>
      </c>
      <c r="D40" s="87">
        <v>758</v>
      </c>
      <c r="E40" s="87"/>
      <c r="F40" s="87"/>
    </row>
    <row r="41" spans="1:6" x14ac:dyDescent="0.25">
      <c r="A41" s="7" t="s">
        <v>652</v>
      </c>
      <c r="B41" s="8"/>
      <c r="C41" s="9" t="s">
        <v>653</v>
      </c>
      <c r="D41" s="87">
        <v>137</v>
      </c>
      <c r="E41" s="87"/>
      <c r="F41" s="87"/>
    </row>
    <row r="42" spans="1:6" x14ac:dyDescent="0.25">
      <c r="A42" s="7" t="s">
        <v>654</v>
      </c>
      <c r="B42" s="8"/>
      <c r="C42" s="9" t="s">
        <v>655</v>
      </c>
      <c r="D42" s="87">
        <v>16</v>
      </c>
      <c r="E42" s="87"/>
      <c r="F42" s="87"/>
    </row>
    <row r="43" spans="1:6" x14ac:dyDescent="0.25">
      <c r="A43" s="7" t="s">
        <v>656</v>
      </c>
      <c r="B43" s="8"/>
      <c r="C43" s="9" t="s">
        <v>657</v>
      </c>
      <c r="D43" s="87">
        <v>51</v>
      </c>
      <c r="E43" s="87"/>
      <c r="F43" s="87"/>
    </row>
    <row r="44" spans="1:6" ht="15.75" thickBot="1" x14ac:dyDescent="0.3">
      <c r="A44" s="7" t="s">
        <v>658</v>
      </c>
      <c r="B44" s="8"/>
      <c r="C44" s="9" t="s">
        <v>659</v>
      </c>
      <c r="D44" s="87">
        <v>4</v>
      </c>
      <c r="E44" s="87"/>
      <c r="F44" s="87"/>
    </row>
    <row r="45" spans="1:6" ht="30" customHeight="1" x14ac:dyDescent="0.25">
      <c r="A45" s="116" t="s">
        <v>1108</v>
      </c>
      <c r="B45" s="117"/>
      <c r="C45" s="118"/>
    </row>
    <row r="46" spans="1:6" x14ac:dyDescent="0.25">
      <c r="A46" s="24" t="s">
        <v>96</v>
      </c>
      <c r="B46" s="25"/>
      <c r="C46" s="26" t="s">
        <v>94</v>
      </c>
    </row>
    <row r="47" spans="1:6" x14ac:dyDescent="0.25">
      <c r="A47" s="7" t="s">
        <v>660</v>
      </c>
      <c r="B47" s="8"/>
      <c r="C47" s="9" t="s">
        <v>661</v>
      </c>
      <c r="D47" s="87">
        <v>45</v>
      </c>
      <c r="E47" s="87"/>
      <c r="F47" s="87"/>
    </row>
    <row r="48" spans="1:6" x14ac:dyDescent="0.25">
      <c r="A48" s="7" t="s">
        <v>662</v>
      </c>
      <c r="B48" s="8"/>
      <c r="C48" s="9" t="s">
        <v>663</v>
      </c>
      <c r="D48" s="87">
        <v>0</v>
      </c>
      <c r="E48" s="87"/>
      <c r="F48" s="87"/>
    </row>
    <row r="49" spans="1:6" x14ac:dyDescent="0.25">
      <c r="A49" s="7" t="s">
        <v>664</v>
      </c>
      <c r="B49" s="8"/>
      <c r="C49" s="9" t="s">
        <v>665</v>
      </c>
      <c r="D49" s="87">
        <v>1</v>
      </c>
      <c r="E49" s="87"/>
      <c r="F49" s="87"/>
    </row>
    <row r="50" spans="1:6" x14ac:dyDescent="0.25">
      <c r="A50" s="7" t="s">
        <v>666</v>
      </c>
      <c r="B50" s="8"/>
      <c r="C50" s="9" t="s">
        <v>667</v>
      </c>
      <c r="D50" s="87">
        <v>1</v>
      </c>
      <c r="E50" s="87"/>
      <c r="F50" s="87"/>
    </row>
    <row r="51" spans="1:6" x14ac:dyDescent="0.25">
      <c r="A51" s="7" t="s">
        <v>668</v>
      </c>
      <c r="B51" s="8"/>
      <c r="C51" s="9" t="s">
        <v>669</v>
      </c>
      <c r="D51" s="87">
        <v>10</v>
      </c>
      <c r="E51" s="87"/>
      <c r="F51" s="87"/>
    </row>
    <row r="52" spans="1:6" x14ac:dyDescent="0.25">
      <c r="A52" s="7" t="s">
        <v>670</v>
      </c>
      <c r="B52" s="8"/>
      <c r="C52" s="9" t="s">
        <v>671</v>
      </c>
      <c r="D52" s="87">
        <v>15</v>
      </c>
      <c r="E52" s="87"/>
      <c r="F52" s="87"/>
    </row>
    <row r="53" spans="1:6" x14ac:dyDescent="0.25">
      <c r="A53" s="7" t="s">
        <v>672</v>
      </c>
      <c r="B53" s="8"/>
      <c r="C53" s="9" t="s">
        <v>673</v>
      </c>
      <c r="D53" s="87">
        <v>16</v>
      </c>
      <c r="E53" s="87"/>
      <c r="F53" s="87"/>
    </row>
    <row r="54" spans="1:6" x14ac:dyDescent="0.25">
      <c r="A54" s="7" t="s">
        <v>674</v>
      </c>
      <c r="B54" s="8"/>
      <c r="C54" s="9" t="s">
        <v>675</v>
      </c>
      <c r="D54" s="87">
        <v>129</v>
      </c>
      <c r="E54" s="87"/>
      <c r="F54" s="87"/>
    </row>
    <row r="55" spans="1:6" x14ac:dyDescent="0.25">
      <c r="A55" s="7" t="s">
        <v>676</v>
      </c>
      <c r="B55" s="8"/>
      <c r="C55" s="9" t="s">
        <v>677</v>
      </c>
      <c r="D55" s="87">
        <v>65</v>
      </c>
      <c r="E55" s="87"/>
      <c r="F55" s="87"/>
    </row>
    <row r="56" spans="1:6" x14ac:dyDescent="0.25">
      <c r="A56" s="7" t="s">
        <v>678</v>
      </c>
      <c r="B56" s="8"/>
      <c r="C56" s="9" t="s">
        <v>679</v>
      </c>
      <c r="D56" s="87">
        <v>94</v>
      </c>
      <c r="E56" s="87"/>
      <c r="F56" s="87"/>
    </row>
    <row r="57" spans="1:6" x14ac:dyDescent="0.25">
      <c r="A57" s="7" t="s">
        <v>680</v>
      </c>
      <c r="B57" s="8"/>
      <c r="C57" s="9" t="s">
        <v>681</v>
      </c>
      <c r="D57" s="87">
        <v>207</v>
      </c>
      <c r="E57" s="87"/>
      <c r="F57" s="87"/>
    </row>
    <row r="58" spans="1:6" x14ac:dyDescent="0.25">
      <c r="A58" s="7" t="s">
        <v>682</v>
      </c>
      <c r="B58" s="8"/>
      <c r="C58" s="9" t="s">
        <v>683</v>
      </c>
      <c r="D58" s="87">
        <v>368</v>
      </c>
      <c r="E58" s="87"/>
      <c r="F58" s="87"/>
    </row>
    <row r="59" spans="1:6" x14ac:dyDescent="0.25">
      <c r="A59" s="7" t="s">
        <v>684</v>
      </c>
      <c r="B59" s="8"/>
      <c r="C59" s="9" t="s">
        <v>685</v>
      </c>
      <c r="D59" s="87">
        <v>10</v>
      </c>
      <c r="E59" s="87"/>
      <c r="F59" s="87"/>
    </row>
    <row r="60" spans="1:6" x14ac:dyDescent="0.25">
      <c r="A60" s="7" t="s">
        <v>686</v>
      </c>
      <c r="B60" s="8"/>
      <c r="C60" s="9" t="s">
        <v>687</v>
      </c>
      <c r="D60" s="87">
        <v>3</v>
      </c>
      <c r="E60" s="87"/>
      <c r="F60" s="87"/>
    </row>
    <row r="61" spans="1:6" x14ac:dyDescent="0.25">
      <c r="A61" s="7" t="s">
        <v>688</v>
      </c>
      <c r="B61" s="8"/>
      <c r="C61" s="9" t="s">
        <v>689</v>
      </c>
      <c r="D61" s="87">
        <v>5</v>
      </c>
      <c r="E61" s="87"/>
      <c r="F61" s="87"/>
    </row>
    <row r="62" spans="1:6" x14ac:dyDescent="0.25">
      <c r="A62" s="7" t="s">
        <v>690</v>
      </c>
      <c r="B62" s="8"/>
      <c r="C62" s="9" t="s">
        <v>691</v>
      </c>
      <c r="D62" s="87">
        <v>22</v>
      </c>
      <c r="E62" s="87"/>
      <c r="F62" s="87"/>
    </row>
    <row r="63" spans="1:6" x14ac:dyDescent="0.25">
      <c r="A63" s="7" t="s">
        <v>692</v>
      </c>
      <c r="B63" s="8"/>
      <c r="C63" s="9" t="s">
        <v>693</v>
      </c>
      <c r="D63" s="87">
        <v>14</v>
      </c>
      <c r="E63" s="87"/>
      <c r="F63" s="87"/>
    </row>
    <row r="64" spans="1:6" x14ac:dyDescent="0.25">
      <c r="A64" s="7" t="s">
        <v>694</v>
      </c>
      <c r="B64" s="8"/>
      <c r="C64" s="9" t="s">
        <v>695</v>
      </c>
      <c r="D64" s="87">
        <v>112</v>
      </c>
      <c r="E64" s="87"/>
      <c r="F64" s="87"/>
    </row>
    <row r="65" spans="1:6" x14ac:dyDescent="0.25">
      <c r="A65" s="7" t="s">
        <v>696</v>
      </c>
      <c r="B65" s="8"/>
      <c r="C65" s="9" t="s">
        <v>697</v>
      </c>
      <c r="D65" s="87">
        <v>7</v>
      </c>
      <c r="E65" s="87"/>
      <c r="F65" s="87"/>
    </row>
    <row r="66" spans="1:6" x14ac:dyDescent="0.25">
      <c r="A66" s="7" t="s">
        <v>698</v>
      </c>
      <c r="B66" s="8"/>
      <c r="C66" s="9" t="s">
        <v>699</v>
      </c>
      <c r="D66" s="87">
        <v>100</v>
      </c>
      <c r="E66" s="87"/>
      <c r="F66" s="87"/>
    </row>
    <row r="67" spans="1:6" x14ac:dyDescent="0.25">
      <c r="A67" s="7" t="s">
        <v>700</v>
      </c>
      <c r="B67" s="8"/>
      <c r="C67" s="9" t="s">
        <v>701</v>
      </c>
      <c r="D67" s="87">
        <v>0</v>
      </c>
      <c r="E67" s="87"/>
      <c r="F67" s="87"/>
    </row>
    <row r="68" spans="1:6" x14ac:dyDescent="0.25">
      <c r="A68" s="7" t="s">
        <v>702</v>
      </c>
      <c r="B68" s="8"/>
      <c r="C68" s="9" t="s">
        <v>703</v>
      </c>
      <c r="D68" s="87">
        <v>2</v>
      </c>
      <c r="E68" s="87"/>
      <c r="F68" s="87"/>
    </row>
    <row r="69" spans="1:6" x14ac:dyDescent="0.25">
      <c r="A69" s="7" t="s">
        <v>704</v>
      </c>
      <c r="B69" s="8"/>
      <c r="C69" s="9" t="s">
        <v>705</v>
      </c>
      <c r="D69" s="87">
        <v>3</v>
      </c>
      <c r="E69" s="87"/>
      <c r="F69" s="87"/>
    </row>
    <row r="70" spans="1:6" x14ac:dyDescent="0.25">
      <c r="A70" s="7" t="s">
        <v>706</v>
      </c>
      <c r="B70" s="8"/>
      <c r="C70" s="9" t="s">
        <v>707</v>
      </c>
      <c r="D70" s="87">
        <v>202</v>
      </c>
      <c r="E70" s="87"/>
      <c r="F70" s="87"/>
    </row>
    <row r="71" spans="1:6" x14ac:dyDescent="0.25">
      <c r="A71" s="7" t="s">
        <v>708</v>
      </c>
      <c r="B71" s="8"/>
      <c r="C71" s="9" t="s">
        <v>709</v>
      </c>
      <c r="D71" s="87">
        <v>23</v>
      </c>
      <c r="E71" s="87"/>
      <c r="F71" s="87"/>
    </row>
    <row r="72" spans="1:6" x14ac:dyDescent="0.25">
      <c r="A72" s="7" t="s">
        <v>710</v>
      </c>
      <c r="B72" s="8"/>
      <c r="C72" s="9" t="s">
        <v>711</v>
      </c>
      <c r="D72" s="87">
        <v>99</v>
      </c>
      <c r="E72" s="87"/>
      <c r="F72" s="87"/>
    </row>
    <row r="73" spans="1:6" x14ac:dyDescent="0.25">
      <c r="A73" s="7" t="s">
        <v>712</v>
      </c>
      <c r="B73" s="8"/>
      <c r="C73" s="9" t="s">
        <v>713</v>
      </c>
      <c r="D73" s="87">
        <v>0</v>
      </c>
      <c r="E73" s="87"/>
      <c r="F73" s="87"/>
    </row>
    <row r="74" spans="1:6" x14ac:dyDescent="0.25">
      <c r="A74" s="7" t="s">
        <v>714</v>
      </c>
      <c r="B74" s="8"/>
      <c r="C74" s="9" t="s">
        <v>715</v>
      </c>
      <c r="D74" s="87">
        <v>48</v>
      </c>
      <c r="E74" s="87"/>
      <c r="F74" s="87"/>
    </row>
    <row r="75" spans="1:6" x14ac:dyDescent="0.25">
      <c r="A75" s="7" t="s">
        <v>716</v>
      </c>
      <c r="B75" s="8"/>
      <c r="C75" s="9" t="s">
        <v>717</v>
      </c>
      <c r="D75" s="87">
        <v>11</v>
      </c>
      <c r="E75" s="87"/>
      <c r="F75" s="87"/>
    </row>
    <row r="76" spans="1:6" x14ac:dyDescent="0.25">
      <c r="A76" s="7" t="s">
        <v>718</v>
      </c>
      <c r="B76" s="8"/>
      <c r="C76" s="9" t="s">
        <v>719</v>
      </c>
      <c r="D76" s="87">
        <v>1</v>
      </c>
      <c r="E76" s="87"/>
      <c r="F76" s="87"/>
    </row>
    <row r="77" spans="1:6" x14ac:dyDescent="0.25">
      <c r="A77" s="7" t="s">
        <v>720</v>
      </c>
      <c r="B77" s="8"/>
      <c r="C77" s="9" t="s">
        <v>721</v>
      </c>
      <c r="D77" s="87">
        <v>15</v>
      </c>
      <c r="E77" s="87"/>
      <c r="F77" s="87"/>
    </row>
    <row r="78" spans="1:6" x14ac:dyDescent="0.25">
      <c r="A78" s="7" t="s">
        <v>722</v>
      </c>
      <c r="B78" s="8"/>
      <c r="C78" s="9" t="s">
        <v>615</v>
      </c>
      <c r="D78" s="87">
        <v>11</v>
      </c>
      <c r="E78" s="87"/>
      <c r="F78" s="87"/>
    </row>
    <row r="79" spans="1:6" x14ac:dyDescent="0.25">
      <c r="A79" s="7" t="s">
        <v>723</v>
      </c>
      <c r="B79" s="8"/>
      <c r="C79" s="9" t="s">
        <v>724</v>
      </c>
      <c r="D79" s="87">
        <v>1</v>
      </c>
      <c r="E79" s="87"/>
      <c r="F79" s="87"/>
    </row>
    <row r="80" spans="1:6" x14ac:dyDescent="0.25">
      <c r="A80" s="7" t="s">
        <v>725</v>
      </c>
      <c r="B80" s="8"/>
      <c r="C80" s="9" t="s">
        <v>726</v>
      </c>
      <c r="D80" s="87">
        <v>1</v>
      </c>
      <c r="E80" s="87"/>
      <c r="F80" s="87"/>
    </row>
    <row r="81" spans="1:6" x14ac:dyDescent="0.25">
      <c r="A81" s="7" t="s">
        <v>727</v>
      </c>
      <c r="B81" s="8"/>
      <c r="C81" s="9" t="s">
        <v>728</v>
      </c>
      <c r="D81" s="87">
        <v>11</v>
      </c>
      <c r="E81" s="87"/>
      <c r="F81" s="87"/>
    </row>
    <row r="82" spans="1:6" x14ac:dyDescent="0.25">
      <c r="A82" s="7" t="s">
        <v>729</v>
      </c>
      <c r="B82" s="8"/>
      <c r="C82" s="9" t="s">
        <v>730</v>
      </c>
      <c r="D82" s="87">
        <v>0</v>
      </c>
      <c r="E82" s="87"/>
      <c r="F82" s="87"/>
    </row>
    <row r="83" spans="1:6" x14ac:dyDescent="0.25">
      <c r="A83" s="7" t="s">
        <v>731</v>
      </c>
      <c r="B83" s="8"/>
      <c r="C83" s="9" t="s">
        <v>732</v>
      </c>
      <c r="D83" s="87">
        <v>0</v>
      </c>
      <c r="E83" s="87"/>
      <c r="F83" s="87"/>
    </row>
    <row r="84" spans="1:6" x14ac:dyDescent="0.25">
      <c r="A84" s="7" t="s">
        <v>733</v>
      </c>
      <c r="B84" s="8"/>
      <c r="C84" s="9" t="s">
        <v>734</v>
      </c>
      <c r="D84" s="87">
        <v>0</v>
      </c>
      <c r="E84" s="87"/>
      <c r="F84" s="87"/>
    </row>
    <row r="85" spans="1:6" x14ac:dyDescent="0.25">
      <c r="A85" s="7" t="s">
        <v>735</v>
      </c>
      <c r="B85" s="8"/>
      <c r="C85" s="9" t="s">
        <v>736</v>
      </c>
      <c r="D85" s="87">
        <v>0</v>
      </c>
      <c r="E85" s="87"/>
      <c r="F85" s="87"/>
    </row>
    <row r="86" spans="1:6" x14ac:dyDescent="0.25">
      <c r="A86" s="7" t="s">
        <v>737</v>
      </c>
      <c r="B86" s="8"/>
      <c r="C86" s="9" t="s">
        <v>738</v>
      </c>
      <c r="D86" s="87">
        <v>0</v>
      </c>
      <c r="E86" s="87"/>
      <c r="F86" s="87"/>
    </row>
    <row r="87" spans="1:6" x14ac:dyDescent="0.25">
      <c r="A87" s="7" t="s">
        <v>739</v>
      </c>
      <c r="B87" s="8"/>
      <c r="C87" s="9" t="s">
        <v>740</v>
      </c>
      <c r="D87" s="87">
        <v>0</v>
      </c>
      <c r="E87" s="87"/>
      <c r="F87" s="87"/>
    </row>
    <row r="88" spans="1:6" x14ac:dyDescent="0.25">
      <c r="A88" s="7" t="s">
        <v>741</v>
      </c>
      <c r="B88" s="8"/>
      <c r="C88" s="9" t="s">
        <v>742</v>
      </c>
      <c r="D88" s="87">
        <v>0</v>
      </c>
      <c r="E88" s="87"/>
      <c r="F88" s="87"/>
    </row>
    <row r="89" spans="1:6" x14ac:dyDescent="0.25">
      <c r="A89" s="7" t="s">
        <v>743</v>
      </c>
      <c r="B89" s="8"/>
      <c r="C89" s="9" t="s">
        <v>744</v>
      </c>
      <c r="D89" s="87">
        <v>0</v>
      </c>
      <c r="E89" s="87"/>
      <c r="F89" s="87"/>
    </row>
    <row r="90" spans="1:6" x14ac:dyDescent="0.25">
      <c r="A90" s="7" t="s">
        <v>745</v>
      </c>
      <c r="B90" s="8"/>
      <c r="C90" s="9" t="s">
        <v>746</v>
      </c>
      <c r="D90" s="87">
        <v>0</v>
      </c>
      <c r="E90" s="87"/>
      <c r="F90" s="87"/>
    </row>
    <row r="91" spans="1:6" x14ac:dyDescent="0.25">
      <c r="A91" s="7" t="s">
        <v>747</v>
      </c>
      <c r="B91" s="8"/>
      <c r="C91" s="9" t="s">
        <v>748</v>
      </c>
      <c r="D91" s="87">
        <v>0</v>
      </c>
      <c r="E91" s="87"/>
      <c r="F91" s="87"/>
    </row>
    <row r="92" spans="1:6" x14ac:dyDescent="0.25">
      <c r="A92" s="7" t="s">
        <v>749</v>
      </c>
      <c r="B92" s="8"/>
      <c r="C92" s="9" t="s">
        <v>750</v>
      </c>
      <c r="D92" s="87">
        <v>0</v>
      </c>
      <c r="E92" s="87"/>
      <c r="F92" s="87"/>
    </row>
    <row r="93" spans="1:6" x14ac:dyDescent="0.25">
      <c r="A93" s="7" t="s">
        <v>751</v>
      </c>
      <c r="B93" s="8"/>
      <c r="C93" s="9" t="s">
        <v>752</v>
      </c>
      <c r="D93" s="87">
        <v>0</v>
      </c>
      <c r="E93" s="87"/>
      <c r="F93" s="87"/>
    </row>
    <row r="94" spans="1:6" x14ac:dyDescent="0.25">
      <c r="A94" s="7" t="s">
        <v>753</v>
      </c>
      <c r="B94" s="8"/>
      <c r="C94" s="9" t="s">
        <v>754</v>
      </c>
      <c r="D94" s="87">
        <v>768</v>
      </c>
      <c r="E94" s="87"/>
      <c r="F94" s="87"/>
    </row>
    <row r="95" spans="1:6" x14ac:dyDescent="0.25">
      <c r="A95" s="7" t="s">
        <v>755</v>
      </c>
      <c r="B95" s="8"/>
      <c r="C95" s="9" t="s">
        <v>756</v>
      </c>
      <c r="D95" s="87">
        <v>61</v>
      </c>
      <c r="E95" s="87"/>
      <c r="F95" s="87"/>
    </row>
    <row r="96" spans="1:6" x14ac:dyDescent="0.25">
      <c r="A96" s="7" t="s">
        <v>757</v>
      </c>
      <c r="B96" s="8"/>
      <c r="C96" s="9" t="s">
        <v>758</v>
      </c>
      <c r="D96" s="87">
        <v>61</v>
      </c>
      <c r="E96" s="87"/>
      <c r="F96" s="87"/>
    </row>
    <row r="97" spans="1:6" x14ac:dyDescent="0.25">
      <c r="A97" s="7" t="s">
        <v>759</v>
      </c>
      <c r="B97" s="8"/>
      <c r="C97" s="9" t="s">
        <v>760</v>
      </c>
      <c r="D97" s="87">
        <v>59</v>
      </c>
      <c r="E97" s="87"/>
      <c r="F97" s="87"/>
    </row>
    <row r="98" spans="1:6" x14ac:dyDescent="0.25">
      <c r="A98" s="7" t="s">
        <v>761</v>
      </c>
      <c r="B98" s="8"/>
      <c r="C98" s="9" t="s">
        <v>762</v>
      </c>
      <c r="D98" s="87">
        <v>12</v>
      </c>
      <c r="E98" s="87"/>
      <c r="F98" s="87"/>
    </row>
    <row r="99" spans="1:6" x14ac:dyDescent="0.25">
      <c r="A99" s="7" t="s">
        <v>763</v>
      </c>
      <c r="B99" s="8"/>
      <c r="C99" s="9" t="s">
        <v>764</v>
      </c>
      <c r="D99" s="87">
        <v>6</v>
      </c>
      <c r="E99" s="87"/>
      <c r="F99" s="87"/>
    </row>
    <row r="100" spans="1:6" x14ac:dyDescent="0.25">
      <c r="A100" s="7" t="s">
        <v>765</v>
      </c>
      <c r="B100" s="8"/>
      <c r="C100" s="9" t="s">
        <v>766</v>
      </c>
      <c r="D100" s="87">
        <v>1</v>
      </c>
      <c r="E100" s="87"/>
      <c r="F100" s="87"/>
    </row>
    <row r="101" spans="1:6" x14ac:dyDescent="0.25">
      <c r="A101" s="7" t="s">
        <v>767</v>
      </c>
      <c r="B101" s="8"/>
      <c r="C101" s="9" t="s">
        <v>768</v>
      </c>
      <c r="D101" s="87">
        <v>2</v>
      </c>
      <c r="E101" s="87"/>
      <c r="F101" s="87"/>
    </row>
    <row r="102" spans="1:6" x14ac:dyDescent="0.25">
      <c r="A102" s="7" t="s">
        <v>769</v>
      </c>
      <c r="B102" s="8"/>
      <c r="C102" s="9" t="s">
        <v>770</v>
      </c>
      <c r="D102" s="87">
        <v>0</v>
      </c>
      <c r="E102" s="87"/>
      <c r="F102" s="87"/>
    </row>
    <row r="103" spans="1:6" x14ac:dyDescent="0.25">
      <c r="A103" s="7" t="s">
        <v>771</v>
      </c>
      <c r="B103" s="8"/>
      <c r="C103" s="9" t="s">
        <v>772</v>
      </c>
      <c r="D103" s="87">
        <v>1</v>
      </c>
      <c r="E103" s="87"/>
      <c r="F103" s="87"/>
    </row>
    <row r="104" spans="1:6" x14ac:dyDescent="0.25">
      <c r="A104" s="7" t="s">
        <v>773</v>
      </c>
      <c r="B104" s="8"/>
      <c r="C104" s="9" t="s">
        <v>774</v>
      </c>
      <c r="D104" s="87">
        <v>85</v>
      </c>
      <c r="E104" s="87"/>
      <c r="F104" s="87"/>
    </row>
    <row r="105" spans="1:6" x14ac:dyDescent="0.25">
      <c r="A105" s="7" t="s">
        <v>775</v>
      </c>
      <c r="B105" s="8"/>
      <c r="C105" s="9" t="s">
        <v>643</v>
      </c>
      <c r="D105" s="87">
        <v>69</v>
      </c>
      <c r="E105" s="87"/>
      <c r="F105" s="87"/>
    </row>
    <row r="106" spans="1:6" x14ac:dyDescent="0.25">
      <c r="A106" s="7" t="s">
        <v>776</v>
      </c>
      <c r="B106" s="8"/>
      <c r="C106" s="9" t="s">
        <v>777</v>
      </c>
      <c r="D106" s="87">
        <v>22</v>
      </c>
      <c r="E106" s="87"/>
      <c r="F106" s="87"/>
    </row>
    <row r="107" spans="1:6" x14ac:dyDescent="0.25">
      <c r="A107" s="7" t="s">
        <v>778</v>
      </c>
      <c r="B107" s="8"/>
      <c r="C107" s="9" t="s">
        <v>779</v>
      </c>
      <c r="D107" s="87">
        <v>32</v>
      </c>
      <c r="E107" s="87"/>
      <c r="F107" s="87"/>
    </row>
    <row r="108" spans="1:6" x14ac:dyDescent="0.25">
      <c r="A108" s="7" t="s">
        <v>780</v>
      </c>
      <c r="B108" s="8"/>
      <c r="C108" s="9" t="s">
        <v>781</v>
      </c>
      <c r="D108" s="87">
        <v>0</v>
      </c>
      <c r="E108" s="87"/>
      <c r="F108" s="87"/>
    </row>
    <row r="109" spans="1:6" x14ac:dyDescent="0.25">
      <c r="A109" s="7" t="s">
        <v>782</v>
      </c>
      <c r="B109" s="8"/>
      <c r="C109" s="9" t="s">
        <v>783</v>
      </c>
      <c r="D109" s="87">
        <v>0</v>
      </c>
      <c r="E109" s="87"/>
      <c r="F109" s="87"/>
    </row>
    <row r="110" spans="1:6" x14ac:dyDescent="0.25">
      <c r="A110" s="7" t="s">
        <v>784</v>
      </c>
      <c r="B110" s="8"/>
      <c r="C110" s="9" t="s">
        <v>785</v>
      </c>
      <c r="D110" s="87">
        <v>0</v>
      </c>
      <c r="E110" s="87"/>
      <c r="F110" s="87"/>
    </row>
    <row r="111" spans="1:6" x14ac:dyDescent="0.25">
      <c r="A111" s="7" t="s">
        <v>786</v>
      </c>
      <c r="B111" s="8"/>
      <c r="C111" s="9" t="s">
        <v>787</v>
      </c>
      <c r="D111" s="87">
        <v>1</v>
      </c>
      <c r="E111" s="87"/>
      <c r="F111" s="87"/>
    </row>
    <row r="112" spans="1:6" x14ac:dyDescent="0.25">
      <c r="A112" s="7" t="s">
        <v>788</v>
      </c>
      <c r="B112" s="8"/>
      <c r="C112" s="9" t="s">
        <v>789</v>
      </c>
      <c r="D112" s="87">
        <v>0</v>
      </c>
      <c r="E112" s="87"/>
      <c r="F112" s="87"/>
    </row>
    <row r="113" spans="1:6" x14ac:dyDescent="0.25">
      <c r="A113" s="7" t="s">
        <v>790</v>
      </c>
      <c r="B113" s="8"/>
      <c r="C113" s="9" t="s">
        <v>791</v>
      </c>
      <c r="D113" s="87">
        <v>0</v>
      </c>
      <c r="E113" s="87"/>
      <c r="F113" s="87"/>
    </row>
    <row r="114" spans="1:6" x14ac:dyDescent="0.25">
      <c r="A114" s="7" t="s">
        <v>792</v>
      </c>
      <c r="B114" s="8"/>
      <c r="C114" s="9" t="s">
        <v>793</v>
      </c>
      <c r="D114" s="87">
        <v>0</v>
      </c>
      <c r="E114" s="87"/>
      <c r="F114" s="87"/>
    </row>
    <row r="115" spans="1:6" x14ac:dyDescent="0.25">
      <c r="A115" s="7" t="s">
        <v>794</v>
      </c>
      <c r="B115" s="8"/>
      <c r="C115" s="9" t="s">
        <v>795</v>
      </c>
      <c r="D115" s="87">
        <v>0</v>
      </c>
      <c r="E115" s="87"/>
      <c r="F115" s="87"/>
    </row>
    <row r="116" spans="1:6" x14ac:dyDescent="0.25">
      <c r="A116" s="7" t="s">
        <v>796</v>
      </c>
      <c r="B116" s="8"/>
      <c r="C116" s="9" t="s">
        <v>797</v>
      </c>
      <c r="D116" s="87">
        <v>5</v>
      </c>
      <c r="E116" s="87"/>
      <c r="F116" s="87"/>
    </row>
    <row r="117" spans="1:6" x14ac:dyDescent="0.25">
      <c r="A117" s="7" t="s">
        <v>798</v>
      </c>
      <c r="B117" s="8"/>
      <c r="C117" s="9" t="s">
        <v>799</v>
      </c>
      <c r="D117" s="87">
        <v>75</v>
      </c>
      <c r="E117" s="87"/>
      <c r="F117" s="87"/>
    </row>
    <row r="118" spans="1:6" x14ac:dyDescent="0.25">
      <c r="A118" s="7" t="s">
        <v>800</v>
      </c>
      <c r="B118" s="8"/>
      <c r="C118" s="9" t="s">
        <v>801</v>
      </c>
      <c r="D118" s="87">
        <v>130</v>
      </c>
      <c r="E118" s="87"/>
      <c r="F118" s="87"/>
    </row>
    <row r="119" spans="1:6" x14ac:dyDescent="0.25">
      <c r="A119" s="7" t="s">
        <v>802</v>
      </c>
      <c r="B119" s="8"/>
      <c r="C119" s="9" t="s">
        <v>803</v>
      </c>
      <c r="D119" s="87">
        <v>39</v>
      </c>
      <c r="E119" s="87"/>
      <c r="F119" s="87"/>
    </row>
    <row r="120" spans="1:6" x14ac:dyDescent="0.25">
      <c r="A120" s="7" t="s">
        <v>804</v>
      </c>
      <c r="B120" s="8"/>
      <c r="C120" s="9" t="s">
        <v>805</v>
      </c>
      <c r="D120" s="87">
        <v>5</v>
      </c>
      <c r="E120" s="87"/>
      <c r="F120" s="87"/>
    </row>
    <row r="121" spans="1:6" x14ac:dyDescent="0.25">
      <c r="A121" s="7" t="s">
        <v>806</v>
      </c>
      <c r="B121" s="8"/>
      <c r="C121" s="9" t="s">
        <v>807</v>
      </c>
      <c r="D121" s="87">
        <v>4</v>
      </c>
      <c r="E121" s="87"/>
      <c r="F121" s="87"/>
    </row>
    <row r="122" spans="1:6" x14ac:dyDescent="0.25">
      <c r="A122" s="7" t="s">
        <v>808</v>
      </c>
      <c r="B122" s="8"/>
      <c r="C122" s="9" t="s">
        <v>809</v>
      </c>
      <c r="D122" s="87">
        <v>3</v>
      </c>
      <c r="E122" s="87"/>
      <c r="F122" s="87"/>
    </row>
    <row r="123" spans="1:6" x14ac:dyDescent="0.25">
      <c r="A123" s="7" t="s">
        <v>810</v>
      </c>
      <c r="B123" s="8"/>
      <c r="C123" s="9" t="s">
        <v>811</v>
      </c>
      <c r="D123" s="87">
        <v>7</v>
      </c>
      <c r="E123" s="87"/>
      <c r="F123" s="87"/>
    </row>
    <row r="124" spans="1:6" x14ac:dyDescent="0.25">
      <c r="A124" s="7" t="s">
        <v>812</v>
      </c>
      <c r="B124" s="8"/>
      <c r="C124" s="9" t="s">
        <v>813</v>
      </c>
      <c r="D124" s="87">
        <v>7</v>
      </c>
      <c r="E124" s="87"/>
      <c r="F124" s="87"/>
    </row>
    <row r="125" spans="1:6" x14ac:dyDescent="0.25">
      <c r="A125" s="7" t="s">
        <v>814</v>
      </c>
      <c r="B125" s="8"/>
      <c r="C125" s="9" t="s">
        <v>815</v>
      </c>
      <c r="D125" s="87">
        <v>2</v>
      </c>
      <c r="E125" s="87"/>
      <c r="F125" s="87"/>
    </row>
    <row r="126" spans="1:6" x14ac:dyDescent="0.25">
      <c r="A126" s="7" t="s">
        <v>816</v>
      </c>
      <c r="B126" s="8"/>
      <c r="C126" s="9" t="s">
        <v>817</v>
      </c>
      <c r="D126" s="87">
        <v>0</v>
      </c>
      <c r="E126" s="87"/>
      <c r="F126" s="87"/>
    </row>
    <row r="127" spans="1:6" x14ac:dyDescent="0.25">
      <c r="A127" s="7" t="s">
        <v>818</v>
      </c>
      <c r="B127" s="8"/>
      <c r="C127" s="9" t="s">
        <v>819</v>
      </c>
      <c r="D127" s="87">
        <v>2</v>
      </c>
      <c r="E127" s="87"/>
      <c r="F127" s="87"/>
    </row>
    <row r="128" spans="1:6" x14ac:dyDescent="0.25">
      <c r="A128" s="7" t="s">
        <v>820</v>
      </c>
      <c r="B128" s="8"/>
      <c r="C128" s="9" t="s">
        <v>821</v>
      </c>
      <c r="D128" s="87">
        <v>0</v>
      </c>
      <c r="E128" s="87"/>
      <c r="F128" s="87"/>
    </row>
    <row r="129" spans="1:6" x14ac:dyDescent="0.25">
      <c r="A129" s="7" t="s">
        <v>822</v>
      </c>
      <c r="B129" s="8"/>
      <c r="C129" s="9" t="s">
        <v>823</v>
      </c>
      <c r="D129" s="87">
        <v>10</v>
      </c>
      <c r="E129" s="87"/>
      <c r="F129" s="87"/>
    </row>
    <row r="130" spans="1:6" x14ac:dyDescent="0.25">
      <c r="A130" s="7" t="s">
        <v>824</v>
      </c>
      <c r="B130" s="8"/>
      <c r="C130" s="9" t="s">
        <v>825</v>
      </c>
      <c r="D130" s="87">
        <v>0</v>
      </c>
      <c r="E130" s="87"/>
      <c r="F130" s="87"/>
    </row>
    <row r="131" spans="1:6" x14ac:dyDescent="0.25">
      <c r="A131" s="7" t="s">
        <v>826</v>
      </c>
      <c r="B131" s="8"/>
      <c r="C131" s="9" t="s">
        <v>827</v>
      </c>
      <c r="D131" s="87">
        <v>2</v>
      </c>
      <c r="E131" s="87"/>
      <c r="F131" s="87"/>
    </row>
    <row r="132" spans="1:6" x14ac:dyDescent="0.25">
      <c r="A132" s="7" t="s">
        <v>828</v>
      </c>
      <c r="B132" s="8"/>
      <c r="C132" s="9" t="s">
        <v>829</v>
      </c>
      <c r="D132" s="87">
        <v>0</v>
      </c>
      <c r="E132" s="87"/>
      <c r="F132" s="87"/>
    </row>
    <row r="133" spans="1:6" x14ac:dyDescent="0.25">
      <c r="A133" s="7" t="s">
        <v>830</v>
      </c>
      <c r="B133" s="8"/>
      <c r="C133" s="9" t="s">
        <v>637</v>
      </c>
      <c r="D133" s="87">
        <v>32</v>
      </c>
      <c r="E133" s="87"/>
      <c r="F133" s="87"/>
    </row>
    <row r="134" spans="1:6" x14ac:dyDescent="0.25">
      <c r="A134" s="7" t="s">
        <v>831</v>
      </c>
      <c r="B134" s="8"/>
      <c r="C134" s="9" t="s">
        <v>832</v>
      </c>
      <c r="D134" s="87">
        <v>1</v>
      </c>
      <c r="E134" s="87"/>
      <c r="F134" s="87"/>
    </row>
    <row r="135" spans="1:6" x14ac:dyDescent="0.25">
      <c r="A135" s="7" t="s">
        <v>833</v>
      </c>
      <c r="B135" s="8"/>
      <c r="C135" s="9" t="s">
        <v>834</v>
      </c>
      <c r="D135" s="87">
        <v>24</v>
      </c>
      <c r="E135" s="87"/>
      <c r="F135" s="87"/>
    </row>
    <row r="136" spans="1:6" x14ac:dyDescent="0.25">
      <c r="A136" s="7" t="s">
        <v>835</v>
      </c>
      <c r="B136" s="8"/>
      <c r="C136" s="9" t="s">
        <v>836</v>
      </c>
      <c r="D136" s="87">
        <v>1</v>
      </c>
      <c r="E136" s="87"/>
      <c r="F136" s="87"/>
    </row>
    <row r="137" spans="1:6" x14ac:dyDescent="0.25">
      <c r="A137" s="7" t="s">
        <v>837</v>
      </c>
      <c r="B137" s="8"/>
      <c r="C137" s="9" t="s">
        <v>838</v>
      </c>
      <c r="D137" s="87">
        <v>15</v>
      </c>
      <c r="E137" s="87"/>
      <c r="F137" s="87"/>
    </row>
    <row r="138" spans="1:6" x14ac:dyDescent="0.25">
      <c r="A138" s="7" t="s">
        <v>839</v>
      </c>
      <c r="B138" s="8"/>
      <c r="C138" s="9" t="s">
        <v>840</v>
      </c>
      <c r="D138" s="87">
        <v>5</v>
      </c>
      <c r="E138" s="87"/>
      <c r="F138" s="87"/>
    </row>
    <row r="139" spans="1:6" x14ac:dyDescent="0.25">
      <c r="A139" s="7" t="s">
        <v>841</v>
      </c>
      <c r="B139" s="8"/>
      <c r="C139" s="9" t="s">
        <v>842</v>
      </c>
      <c r="D139" s="87">
        <v>65</v>
      </c>
      <c r="E139" s="87"/>
      <c r="F139" s="87"/>
    </row>
    <row r="140" spans="1:6" x14ac:dyDescent="0.25">
      <c r="A140" s="7" t="s">
        <v>843</v>
      </c>
      <c r="B140" s="8"/>
      <c r="C140" s="9" t="s">
        <v>844</v>
      </c>
      <c r="D140" s="87">
        <v>10</v>
      </c>
      <c r="E140" s="87"/>
      <c r="F140" s="87"/>
    </row>
    <row r="141" spans="1:6" x14ac:dyDescent="0.25">
      <c r="A141" s="7" t="s">
        <v>845</v>
      </c>
      <c r="B141" s="8"/>
      <c r="C141" s="9" t="s">
        <v>846</v>
      </c>
      <c r="D141" s="87">
        <v>2</v>
      </c>
      <c r="E141" s="87"/>
      <c r="F141" s="87"/>
    </row>
    <row r="142" spans="1:6" x14ac:dyDescent="0.25">
      <c r="A142" s="7" t="s">
        <v>847</v>
      </c>
      <c r="B142" s="8"/>
      <c r="C142" s="9" t="s">
        <v>848</v>
      </c>
      <c r="D142" s="87">
        <v>7</v>
      </c>
      <c r="E142" s="87"/>
      <c r="F142" s="87"/>
    </row>
    <row r="143" spans="1:6" x14ac:dyDescent="0.25">
      <c r="A143" s="7" t="s">
        <v>849</v>
      </c>
      <c r="B143" s="8"/>
      <c r="C143" s="9" t="s">
        <v>850</v>
      </c>
      <c r="D143" s="87">
        <v>4</v>
      </c>
      <c r="E143" s="87"/>
      <c r="F143" s="87"/>
    </row>
    <row r="144" spans="1:6" x14ac:dyDescent="0.25">
      <c r="A144" s="7" t="s">
        <v>851</v>
      </c>
      <c r="B144" s="8"/>
      <c r="C144" s="9" t="s">
        <v>852</v>
      </c>
      <c r="D144" s="87">
        <v>286</v>
      </c>
      <c r="E144" s="87"/>
      <c r="F144" s="87"/>
    </row>
    <row r="145" spans="1:6" x14ac:dyDescent="0.25">
      <c r="A145" s="7" t="s">
        <v>853</v>
      </c>
      <c r="B145" s="8"/>
      <c r="C145" s="9" t="s">
        <v>854</v>
      </c>
      <c r="D145" s="87">
        <v>20</v>
      </c>
      <c r="E145" s="87"/>
      <c r="F145" s="87"/>
    </row>
    <row r="146" spans="1:6" x14ac:dyDescent="0.25">
      <c r="A146" s="7" t="s">
        <v>855</v>
      </c>
      <c r="B146" s="8"/>
      <c r="C146" s="9" t="s">
        <v>856</v>
      </c>
      <c r="D146" s="87">
        <v>108</v>
      </c>
      <c r="E146" s="87"/>
      <c r="F146" s="87"/>
    </row>
    <row r="147" spans="1:6" x14ac:dyDescent="0.25">
      <c r="A147" s="7" t="s">
        <v>857</v>
      </c>
      <c r="B147" s="8"/>
      <c r="C147" s="9" t="s">
        <v>858</v>
      </c>
      <c r="D147" s="87">
        <v>6</v>
      </c>
      <c r="E147" s="87"/>
      <c r="F147" s="87"/>
    </row>
    <row r="148" spans="1:6" x14ac:dyDescent="0.25">
      <c r="A148" s="7" t="s">
        <v>859</v>
      </c>
      <c r="B148" s="8"/>
      <c r="C148" s="9" t="s">
        <v>860</v>
      </c>
      <c r="D148" s="87">
        <v>150</v>
      </c>
      <c r="E148" s="87"/>
      <c r="F148" s="87"/>
    </row>
    <row r="149" spans="1:6" x14ac:dyDescent="0.25">
      <c r="A149" s="7" t="s">
        <v>861</v>
      </c>
      <c r="B149" s="8"/>
      <c r="C149" s="9" t="s">
        <v>862</v>
      </c>
      <c r="D149" s="87">
        <v>42</v>
      </c>
      <c r="E149" s="87"/>
      <c r="F149" s="87"/>
    </row>
    <row r="150" spans="1:6" x14ac:dyDescent="0.25">
      <c r="A150" s="7" t="s">
        <v>863</v>
      </c>
      <c r="B150" s="8"/>
      <c r="C150" s="9" t="s">
        <v>864</v>
      </c>
      <c r="D150" s="87">
        <v>2</v>
      </c>
      <c r="E150" s="87"/>
      <c r="F150" s="87"/>
    </row>
    <row r="151" spans="1:6" x14ac:dyDescent="0.25">
      <c r="A151" s="7" t="s">
        <v>865</v>
      </c>
      <c r="B151" s="8"/>
      <c r="C151" s="9" t="s">
        <v>866</v>
      </c>
      <c r="D151" s="87">
        <v>5</v>
      </c>
      <c r="E151" s="87"/>
      <c r="F151" s="87"/>
    </row>
    <row r="152" spans="1:6" x14ac:dyDescent="0.25">
      <c r="A152" s="7" t="s">
        <v>867</v>
      </c>
      <c r="B152" s="8"/>
      <c r="C152" s="9" t="s">
        <v>868</v>
      </c>
      <c r="D152" s="87">
        <v>9</v>
      </c>
      <c r="E152" s="87"/>
      <c r="F152" s="87"/>
    </row>
    <row r="153" spans="1:6" x14ac:dyDescent="0.25">
      <c r="A153" s="7" t="s">
        <v>869</v>
      </c>
      <c r="B153" s="8"/>
      <c r="C153" s="9" t="s">
        <v>870</v>
      </c>
      <c r="D153" s="87">
        <v>13</v>
      </c>
      <c r="E153" s="87"/>
      <c r="F153" s="87"/>
    </row>
    <row r="154" spans="1:6" x14ac:dyDescent="0.25">
      <c r="A154" s="7" t="s">
        <v>871</v>
      </c>
      <c r="B154" s="8"/>
      <c r="C154" s="9" t="s">
        <v>872</v>
      </c>
      <c r="D154" s="87">
        <v>17</v>
      </c>
      <c r="E154" s="87"/>
      <c r="F154" s="87"/>
    </row>
    <row r="155" spans="1:6" x14ac:dyDescent="0.25">
      <c r="A155" s="7" t="s">
        <v>873</v>
      </c>
      <c r="B155" s="8"/>
      <c r="C155" s="9" t="s">
        <v>874</v>
      </c>
      <c r="D155" s="87">
        <v>143</v>
      </c>
      <c r="E155" s="87"/>
      <c r="F155" s="87"/>
    </row>
    <row r="156" spans="1:6" x14ac:dyDescent="0.25">
      <c r="A156" s="7" t="s">
        <v>875</v>
      </c>
      <c r="B156" s="8"/>
      <c r="C156" s="9" t="s">
        <v>876</v>
      </c>
      <c r="D156" s="87">
        <v>44</v>
      </c>
      <c r="E156" s="87"/>
      <c r="F156" s="87"/>
    </row>
    <row r="157" spans="1:6" x14ac:dyDescent="0.25">
      <c r="A157" s="7" t="s">
        <v>877</v>
      </c>
      <c r="B157" s="8"/>
      <c r="C157" s="9" t="s">
        <v>878</v>
      </c>
      <c r="D157" s="87">
        <v>1</v>
      </c>
      <c r="E157" s="87"/>
      <c r="F157" s="87"/>
    </row>
    <row r="158" spans="1:6" x14ac:dyDescent="0.25">
      <c r="A158" s="7" t="s">
        <v>879</v>
      </c>
      <c r="B158" s="8"/>
      <c r="C158" s="9" t="s">
        <v>880</v>
      </c>
      <c r="D158" s="87">
        <v>30</v>
      </c>
      <c r="E158" s="87"/>
      <c r="F158" s="87"/>
    </row>
    <row r="159" spans="1:6" x14ac:dyDescent="0.25">
      <c r="A159" s="7" t="s">
        <v>881</v>
      </c>
      <c r="B159" s="8"/>
      <c r="C159" s="9" t="s">
        <v>882</v>
      </c>
      <c r="D159" s="87">
        <v>3</v>
      </c>
      <c r="E159" s="87"/>
      <c r="F159" s="87"/>
    </row>
    <row r="160" spans="1:6" x14ac:dyDescent="0.25">
      <c r="A160" s="7" t="s">
        <v>883</v>
      </c>
      <c r="B160" s="8"/>
      <c r="C160" s="9" t="s">
        <v>884</v>
      </c>
      <c r="D160" s="87">
        <v>722</v>
      </c>
      <c r="E160" s="87"/>
      <c r="F160" s="87"/>
    </row>
    <row r="161" spans="1:6" x14ac:dyDescent="0.25">
      <c r="A161" s="7" t="s">
        <v>885</v>
      </c>
      <c r="B161" s="8"/>
      <c r="C161" s="9" t="s">
        <v>886</v>
      </c>
      <c r="D161" s="87">
        <v>112</v>
      </c>
      <c r="E161" s="87"/>
      <c r="F161" s="87"/>
    </row>
    <row r="162" spans="1:6" x14ac:dyDescent="0.25">
      <c r="A162" s="7" t="s">
        <v>887</v>
      </c>
      <c r="B162" s="8"/>
      <c r="C162" s="9" t="s">
        <v>888</v>
      </c>
      <c r="D162" s="87">
        <v>1</v>
      </c>
      <c r="E162" s="87"/>
      <c r="F162" s="87"/>
    </row>
    <row r="163" spans="1:6" x14ac:dyDescent="0.25">
      <c r="A163" s="7" t="s">
        <v>889</v>
      </c>
      <c r="B163" s="8"/>
      <c r="C163" s="9" t="s">
        <v>890</v>
      </c>
      <c r="D163" s="87">
        <v>2</v>
      </c>
      <c r="E163" s="87"/>
      <c r="F163" s="87"/>
    </row>
    <row r="164" spans="1:6" x14ac:dyDescent="0.25">
      <c r="A164" s="7" t="s">
        <v>891</v>
      </c>
      <c r="B164" s="8"/>
      <c r="C164" s="9" t="s">
        <v>892</v>
      </c>
      <c r="D164" s="87">
        <v>846</v>
      </c>
      <c r="E164" s="87"/>
      <c r="F164" s="87"/>
    </row>
    <row r="165" spans="1:6" x14ac:dyDescent="0.25">
      <c r="A165" s="7" t="s">
        <v>893</v>
      </c>
      <c r="B165" s="8"/>
      <c r="C165" s="9" t="s">
        <v>894</v>
      </c>
      <c r="D165" s="87">
        <v>18</v>
      </c>
      <c r="E165" s="87"/>
      <c r="F165" s="87"/>
    </row>
    <row r="166" spans="1:6" x14ac:dyDescent="0.25">
      <c r="A166" s="7" t="s">
        <v>895</v>
      </c>
      <c r="B166" s="8"/>
      <c r="C166" s="9" t="s">
        <v>896</v>
      </c>
      <c r="D166" s="87">
        <v>505</v>
      </c>
      <c r="E166" s="87"/>
      <c r="F166" s="87"/>
    </row>
    <row r="167" spans="1:6" x14ac:dyDescent="0.25">
      <c r="A167" s="7" t="s">
        <v>897</v>
      </c>
      <c r="B167" s="8"/>
      <c r="C167" s="9" t="s">
        <v>898</v>
      </c>
      <c r="D167" s="87">
        <v>115</v>
      </c>
      <c r="E167" s="87"/>
      <c r="F167" s="87"/>
    </row>
    <row r="168" spans="1:6" x14ac:dyDescent="0.25">
      <c r="A168" s="7" t="s">
        <v>899</v>
      </c>
      <c r="B168" s="8"/>
      <c r="C168" s="9" t="s">
        <v>900</v>
      </c>
      <c r="D168" s="87">
        <v>7</v>
      </c>
      <c r="E168" s="87"/>
      <c r="F168" s="87"/>
    </row>
    <row r="169" spans="1:6" x14ac:dyDescent="0.25">
      <c r="A169" s="7" t="s">
        <v>901</v>
      </c>
      <c r="B169" s="8"/>
      <c r="C169" s="9" t="s">
        <v>902</v>
      </c>
      <c r="D169" s="87">
        <v>40</v>
      </c>
      <c r="E169" s="87"/>
      <c r="F169" s="87"/>
    </row>
    <row r="170" spans="1:6" x14ac:dyDescent="0.25">
      <c r="A170" s="7" t="s">
        <v>903</v>
      </c>
      <c r="B170" s="8"/>
      <c r="C170" s="9" t="s">
        <v>904</v>
      </c>
      <c r="D170" s="87">
        <v>57</v>
      </c>
      <c r="E170" s="87"/>
      <c r="F170" s="87"/>
    </row>
    <row r="171" spans="1:6" x14ac:dyDescent="0.25">
      <c r="A171" s="7" t="s">
        <v>905</v>
      </c>
      <c r="B171" s="8"/>
      <c r="C171" s="9" t="s">
        <v>906</v>
      </c>
      <c r="D171" s="87">
        <v>13</v>
      </c>
      <c r="E171" s="87"/>
      <c r="F171" s="87"/>
    </row>
    <row r="172" spans="1:6" x14ac:dyDescent="0.25">
      <c r="A172" s="7" t="s">
        <v>907</v>
      </c>
      <c r="B172" s="8"/>
      <c r="C172" s="9" t="s">
        <v>908</v>
      </c>
      <c r="D172" s="87">
        <v>3</v>
      </c>
      <c r="E172" s="87"/>
      <c r="F172" s="87"/>
    </row>
    <row r="173" spans="1:6" x14ac:dyDescent="0.25">
      <c r="A173" s="7" t="s">
        <v>909</v>
      </c>
      <c r="B173" s="8"/>
      <c r="C173" s="9" t="s">
        <v>910</v>
      </c>
      <c r="D173" s="87">
        <v>11</v>
      </c>
      <c r="E173" s="87"/>
      <c r="F173" s="87"/>
    </row>
    <row r="174" spans="1:6" x14ac:dyDescent="0.25">
      <c r="A174" s="7" t="s">
        <v>911</v>
      </c>
      <c r="B174" s="8"/>
      <c r="C174" s="9" t="s">
        <v>912</v>
      </c>
      <c r="D174" s="87">
        <v>0</v>
      </c>
      <c r="E174" s="87"/>
      <c r="F174" s="87"/>
    </row>
    <row r="175" spans="1:6" x14ac:dyDescent="0.25">
      <c r="A175" s="7" t="s">
        <v>913</v>
      </c>
      <c r="B175" s="8"/>
      <c r="C175" s="9" t="s">
        <v>914</v>
      </c>
      <c r="D175" s="87">
        <v>0</v>
      </c>
      <c r="E175" s="87"/>
      <c r="F175" s="87"/>
    </row>
    <row r="176" spans="1:6" x14ac:dyDescent="0.25">
      <c r="A176" s="7" t="s">
        <v>915</v>
      </c>
      <c r="B176" s="8"/>
      <c r="C176" s="9" t="s">
        <v>916</v>
      </c>
      <c r="D176" s="87">
        <v>2</v>
      </c>
      <c r="E176" s="87"/>
      <c r="F176" s="87"/>
    </row>
    <row r="177" spans="1:6" x14ac:dyDescent="0.25">
      <c r="A177" s="7" t="s">
        <v>917</v>
      </c>
      <c r="B177" s="8"/>
      <c r="C177" s="9" t="s">
        <v>918</v>
      </c>
      <c r="D177" s="87">
        <v>10</v>
      </c>
      <c r="E177" s="87"/>
      <c r="F177" s="87"/>
    </row>
    <row r="178" spans="1:6" x14ac:dyDescent="0.25">
      <c r="A178" s="7" t="s">
        <v>919</v>
      </c>
      <c r="B178" s="8"/>
      <c r="C178" s="9" t="s">
        <v>920</v>
      </c>
      <c r="D178" s="87">
        <v>0</v>
      </c>
      <c r="E178" s="87"/>
      <c r="F178" s="87"/>
    </row>
    <row r="179" spans="1:6" x14ac:dyDescent="0.25">
      <c r="A179" s="7" t="s">
        <v>921</v>
      </c>
      <c r="B179" s="8"/>
      <c r="C179" s="9" t="s">
        <v>922</v>
      </c>
      <c r="D179" s="87">
        <v>1</v>
      </c>
      <c r="E179" s="87"/>
      <c r="F179" s="87"/>
    </row>
    <row r="180" spans="1:6" x14ac:dyDescent="0.25">
      <c r="A180" s="7" t="s">
        <v>923</v>
      </c>
      <c r="B180" s="8"/>
      <c r="C180" s="9" t="s">
        <v>924</v>
      </c>
      <c r="D180" s="87">
        <v>1</v>
      </c>
      <c r="E180" s="87"/>
      <c r="F180" s="87"/>
    </row>
    <row r="181" spans="1:6" x14ac:dyDescent="0.25">
      <c r="A181" s="7" t="s">
        <v>925</v>
      </c>
      <c r="B181" s="8"/>
      <c r="C181" s="9" t="s">
        <v>926</v>
      </c>
      <c r="D181" s="87">
        <v>2</v>
      </c>
      <c r="E181" s="87"/>
      <c r="F181" s="87"/>
    </row>
    <row r="182" spans="1:6" x14ac:dyDescent="0.25">
      <c r="A182" s="7" t="s">
        <v>927</v>
      </c>
      <c r="B182" s="8"/>
      <c r="C182" s="9" t="s">
        <v>928</v>
      </c>
      <c r="D182" s="87">
        <v>0</v>
      </c>
      <c r="E182" s="87"/>
      <c r="F182" s="87"/>
    </row>
    <row r="183" spans="1:6" x14ac:dyDescent="0.25">
      <c r="A183" s="7" t="s">
        <v>929</v>
      </c>
      <c r="B183" s="8"/>
      <c r="C183" s="9" t="s">
        <v>930</v>
      </c>
      <c r="D183" s="87">
        <v>1</v>
      </c>
      <c r="E183" s="87"/>
      <c r="F183" s="87"/>
    </row>
    <row r="184" spans="1:6" x14ac:dyDescent="0.25">
      <c r="A184" s="7" t="s">
        <v>931</v>
      </c>
      <c r="B184" s="8"/>
      <c r="C184" s="9" t="s">
        <v>932</v>
      </c>
      <c r="D184" s="87">
        <v>3</v>
      </c>
      <c r="E184" s="87"/>
      <c r="F184" s="87"/>
    </row>
    <row r="185" spans="1:6" x14ac:dyDescent="0.25">
      <c r="A185" s="7" t="s">
        <v>933</v>
      </c>
      <c r="B185" s="8"/>
      <c r="C185" s="9" t="s">
        <v>934</v>
      </c>
      <c r="D185" s="87">
        <v>0</v>
      </c>
      <c r="E185" s="87"/>
      <c r="F185" s="87"/>
    </row>
    <row r="186" spans="1:6" x14ac:dyDescent="0.25">
      <c r="A186" s="7" t="s">
        <v>935</v>
      </c>
      <c r="B186" s="8"/>
      <c r="C186" s="9" t="s">
        <v>936</v>
      </c>
      <c r="D186" s="87">
        <v>7</v>
      </c>
      <c r="E186" s="87"/>
      <c r="F186" s="87"/>
    </row>
    <row r="187" spans="1:6" x14ac:dyDescent="0.25">
      <c r="A187" s="7" t="s">
        <v>937</v>
      </c>
      <c r="B187" s="8"/>
      <c r="C187" s="9" t="s">
        <v>938</v>
      </c>
      <c r="D187" s="87">
        <v>9</v>
      </c>
      <c r="E187" s="87"/>
      <c r="F187" s="87"/>
    </row>
    <row r="188" spans="1:6" x14ac:dyDescent="0.25">
      <c r="A188" s="7" t="s">
        <v>939</v>
      </c>
      <c r="B188" s="8"/>
      <c r="C188" s="9" t="s">
        <v>940</v>
      </c>
      <c r="D188" s="87">
        <v>1</v>
      </c>
      <c r="E188" s="87"/>
      <c r="F188" s="87"/>
    </row>
    <row r="189" spans="1:6" x14ac:dyDescent="0.25">
      <c r="A189" s="7" t="s">
        <v>941</v>
      </c>
      <c r="B189" s="8"/>
      <c r="C189" s="9" t="s">
        <v>942</v>
      </c>
      <c r="D189" s="87">
        <v>2</v>
      </c>
      <c r="E189" s="87"/>
      <c r="F189" s="87"/>
    </row>
    <row r="190" spans="1:6" x14ac:dyDescent="0.25">
      <c r="A190" s="7" t="s">
        <v>943</v>
      </c>
      <c r="B190" s="8"/>
      <c r="C190" s="9" t="s">
        <v>944</v>
      </c>
      <c r="D190" s="87">
        <v>0</v>
      </c>
      <c r="E190" s="87"/>
      <c r="F190" s="87"/>
    </row>
    <row r="191" spans="1:6" x14ac:dyDescent="0.25">
      <c r="A191" s="7" t="s">
        <v>945</v>
      </c>
      <c r="B191" s="8"/>
      <c r="C191" s="9" t="s">
        <v>946</v>
      </c>
      <c r="D191" s="87">
        <v>12</v>
      </c>
      <c r="E191" s="87"/>
      <c r="F191" s="87"/>
    </row>
    <row r="192" spans="1:6" x14ac:dyDescent="0.25">
      <c r="A192" s="7" t="s">
        <v>947</v>
      </c>
      <c r="B192" s="8"/>
      <c r="C192" s="9" t="s">
        <v>948</v>
      </c>
      <c r="D192" s="87">
        <v>1</v>
      </c>
      <c r="E192" s="87"/>
      <c r="F192" s="87"/>
    </row>
    <row r="193" spans="1:6" x14ac:dyDescent="0.25">
      <c r="A193" s="7" t="s">
        <v>949</v>
      </c>
      <c r="B193" s="8"/>
      <c r="C193" s="9" t="s">
        <v>609</v>
      </c>
      <c r="D193" s="87">
        <v>4</v>
      </c>
      <c r="E193" s="87"/>
      <c r="F193" s="87"/>
    </row>
    <row r="194" spans="1:6" x14ac:dyDescent="0.25">
      <c r="A194" s="7" t="s">
        <v>950</v>
      </c>
      <c r="B194" s="8"/>
      <c r="C194" s="9" t="s">
        <v>613</v>
      </c>
      <c r="D194" s="87">
        <v>7</v>
      </c>
      <c r="E194" s="87"/>
      <c r="F194" s="87"/>
    </row>
    <row r="195" spans="1:6" x14ac:dyDescent="0.25">
      <c r="A195" s="7" t="s">
        <v>951</v>
      </c>
      <c r="B195" s="8"/>
      <c r="C195" s="9" t="s">
        <v>952</v>
      </c>
      <c r="D195" s="87">
        <v>2</v>
      </c>
      <c r="E195" s="87"/>
      <c r="F195" s="87"/>
    </row>
    <row r="196" spans="1:6" x14ac:dyDescent="0.25">
      <c r="A196" s="7" t="s">
        <v>953</v>
      </c>
      <c r="B196" s="8"/>
      <c r="C196" s="9" t="s">
        <v>954</v>
      </c>
      <c r="D196" s="87">
        <v>26</v>
      </c>
      <c r="E196" s="87"/>
      <c r="F196" s="87"/>
    </row>
    <row r="197" spans="1:6" x14ac:dyDescent="0.25">
      <c r="A197" s="7" t="s">
        <v>955</v>
      </c>
      <c r="B197" s="8"/>
      <c r="C197" s="9" t="s">
        <v>956</v>
      </c>
      <c r="D197" s="87">
        <v>162</v>
      </c>
      <c r="E197" s="87"/>
      <c r="F197" s="87"/>
    </row>
    <row r="198" spans="1:6" x14ac:dyDescent="0.25">
      <c r="A198" s="7" t="s">
        <v>957</v>
      </c>
      <c r="B198" s="8"/>
      <c r="C198" s="9" t="s">
        <v>958</v>
      </c>
      <c r="D198" s="87">
        <v>20</v>
      </c>
      <c r="E198" s="87"/>
      <c r="F198" s="87"/>
    </row>
    <row r="199" spans="1:6" x14ac:dyDescent="0.25">
      <c r="A199" s="7" t="s">
        <v>959</v>
      </c>
      <c r="B199" s="8"/>
      <c r="C199" s="9" t="s">
        <v>960</v>
      </c>
      <c r="D199" s="87">
        <v>3</v>
      </c>
      <c r="E199" s="87"/>
      <c r="F199" s="87"/>
    </row>
    <row r="200" spans="1:6" x14ac:dyDescent="0.25">
      <c r="A200" s="7" t="s">
        <v>961</v>
      </c>
      <c r="B200" s="8"/>
      <c r="C200" s="9" t="s">
        <v>962</v>
      </c>
      <c r="D200" s="87">
        <v>40</v>
      </c>
      <c r="E200" s="87"/>
      <c r="F200" s="87"/>
    </row>
    <row r="201" spans="1:6" x14ac:dyDescent="0.25">
      <c r="A201" s="7" t="s">
        <v>963</v>
      </c>
      <c r="B201" s="8"/>
      <c r="C201" s="9" t="s">
        <v>964</v>
      </c>
      <c r="D201" s="87">
        <v>5</v>
      </c>
      <c r="E201" s="87"/>
      <c r="F201" s="87"/>
    </row>
    <row r="202" spans="1:6" x14ac:dyDescent="0.25">
      <c r="A202" s="7" t="s">
        <v>965</v>
      </c>
      <c r="B202" s="8"/>
      <c r="C202" s="9" t="s">
        <v>966</v>
      </c>
      <c r="D202" s="87">
        <v>1</v>
      </c>
      <c r="E202" s="87"/>
      <c r="F202" s="87"/>
    </row>
    <row r="203" spans="1:6" x14ac:dyDescent="0.25">
      <c r="A203" s="7" t="s">
        <v>967</v>
      </c>
      <c r="B203" s="8"/>
      <c r="C203" s="9" t="s">
        <v>968</v>
      </c>
      <c r="D203" s="87">
        <v>5</v>
      </c>
      <c r="E203" s="87"/>
      <c r="F203" s="87"/>
    </row>
    <row r="204" spans="1:6" x14ac:dyDescent="0.25">
      <c r="A204" s="7" t="s">
        <v>969</v>
      </c>
      <c r="B204" s="8"/>
      <c r="C204" s="9" t="s">
        <v>970</v>
      </c>
      <c r="D204" s="87">
        <v>10</v>
      </c>
      <c r="E204" s="87"/>
      <c r="F204" s="87"/>
    </row>
    <row r="205" spans="1:6" x14ac:dyDescent="0.25">
      <c r="A205" s="7" t="s">
        <v>971</v>
      </c>
      <c r="B205" s="8"/>
      <c r="C205" s="9" t="s">
        <v>972</v>
      </c>
      <c r="D205" s="87">
        <v>4</v>
      </c>
      <c r="E205" s="87"/>
      <c r="F205" s="87"/>
    </row>
    <row r="206" spans="1:6" x14ac:dyDescent="0.25">
      <c r="A206" s="7" t="s">
        <v>973</v>
      </c>
      <c r="B206" s="8"/>
      <c r="C206" s="9" t="s">
        <v>974</v>
      </c>
      <c r="D206" s="87">
        <v>4</v>
      </c>
      <c r="E206" s="87"/>
      <c r="F206" s="87"/>
    </row>
    <row r="207" spans="1:6" x14ac:dyDescent="0.25">
      <c r="A207" s="7" t="s">
        <v>975</v>
      </c>
      <c r="B207" s="8"/>
      <c r="C207" s="9" t="s">
        <v>976</v>
      </c>
      <c r="D207" s="87">
        <v>0</v>
      </c>
      <c r="E207" s="87"/>
      <c r="F207" s="87"/>
    </row>
    <row r="208" spans="1:6" x14ac:dyDescent="0.25">
      <c r="A208" s="7" t="s">
        <v>977</v>
      </c>
      <c r="B208" s="8"/>
      <c r="C208" s="9" t="s">
        <v>978</v>
      </c>
      <c r="D208" s="87">
        <v>3</v>
      </c>
      <c r="E208" s="87"/>
      <c r="F208" s="87"/>
    </row>
    <row r="209" spans="1:6" x14ac:dyDescent="0.25">
      <c r="A209" s="7" t="s">
        <v>979</v>
      </c>
      <c r="B209" s="8"/>
      <c r="C209" s="9" t="s">
        <v>980</v>
      </c>
      <c r="D209" s="87">
        <v>1</v>
      </c>
      <c r="E209" s="87"/>
      <c r="F209" s="87"/>
    </row>
    <row r="210" spans="1:6" x14ac:dyDescent="0.25">
      <c r="A210" s="7" t="s">
        <v>981</v>
      </c>
      <c r="B210" s="8"/>
      <c r="C210" s="9" t="s">
        <v>982</v>
      </c>
      <c r="D210" s="87">
        <v>75</v>
      </c>
      <c r="E210" s="87"/>
      <c r="F210" s="87"/>
    </row>
    <row r="211" spans="1:6" x14ac:dyDescent="0.25">
      <c r="A211" s="7" t="s">
        <v>983</v>
      </c>
      <c r="B211" s="8"/>
      <c r="C211" s="9" t="s">
        <v>984</v>
      </c>
      <c r="D211" s="87">
        <v>23</v>
      </c>
      <c r="E211" s="87"/>
      <c r="F211" s="87"/>
    </row>
    <row r="212" spans="1:6" x14ac:dyDescent="0.25">
      <c r="A212" s="7" t="s">
        <v>985</v>
      </c>
      <c r="B212" s="8"/>
      <c r="C212" s="9" t="s">
        <v>986</v>
      </c>
      <c r="D212" s="87">
        <v>7</v>
      </c>
      <c r="E212" s="87"/>
      <c r="F212" s="87"/>
    </row>
    <row r="213" spans="1:6" x14ac:dyDescent="0.25">
      <c r="A213" s="7" t="s">
        <v>987</v>
      </c>
      <c r="B213" s="8"/>
      <c r="C213" s="9" t="s">
        <v>988</v>
      </c>
      <c r="D213" s="87">
        <v>8</v>
      </c>
      <c r="E213" s="87"/>
      <c r="F213" s="87"/>
    </row>
    <row r="214" spans="1:6" x14ac:dyDescent="0.25">
      <c r="A214" s="7" t="s">
        <v>989</v>
      </c>
      <c r="B214" s="8"/>
      <c r="C214" s="9" t="s">
        <v>990</v>
      </c>
      <c r="D214" s="87">
        <v>4</v>
      </c>
      <c r="E214" s="87"/>
      <c r="F214" s="87"/>
    </row>
    <row r="215" spans="1:6" x14ac:dyDescent="0.25">
      <c r="A215" s="7" t="s">
        <v>991</v>
      </c>
      <c r="B215" s="8"/>
      <c r="C215" s="9" t="s">
        <v>992</v>
      </c>
      <c r="D215" s="87">
        <v>3</v>
      </c>
      <c r="E215" s="87"/>
      <c r="F215" s="87"/>
    </row>
    <row r="216" spans="1:6" x14ac:dyDescent="0.25">
      <c r="A216" s="7" t="s">
        <v>993</v>
      </c>
      <c r="B216" s="8"/>
      <c r="C216" s="9" t="s">
        <v>994</v>
      </c>
      <c r="D216" s="87">
        <v>43</v>
      </c>
      <c r="E216" s="87"/>
      <c r="F216" s="87"/>
    </row>
    <row r="217" spans="1:6" x14ac:dyDescent="0.25">
      <c r="A217" s="7" t="s">
        <v>995</v>
      </c>
      <c r="B217" s="8"/>
      <c r="C217" s="9" t="s">
        <v>996</v>
      </c>
      <c r="D217" s="87">
        <v>3</v>
      </c>
      <c r="E217" s="87"/>
      <c r="F217" s="87"/>
    </row>
    <row r="218" spans="1:6" x14ac:dyDescent="0.25">
      <c r="A218" s="7" t="s">
        <v>997</v>
      </c>
      <c r="B218" s="8"/>
      <c r="C218" s="9" t="s">
        <v>998</v>
      </c>
      <c r="D218" s="87">
        <v>1</v>
      </c>
      <c r="E218" s="87"/>
      <c r="F218" s="87"/>
    </row>
    <row r="219" spans="1:6" x14ac:dyDescent="0.25">
      <c r="A219" s="7" t="s">
        <v>999</v>
      </c>
      <c r="B219" s="8"/>
      <c r="C219" s="9" t="s">
        <v>1000</v>
      </c>
      <c r="D219" s="87">
        <v>3</v>
      </c>
      <c r="E219" s="87"/>
      <c r="F219" s="87"/>
    </row>
    <row r="220" spans="1:6" x14ac:dyDescent="0.25">
      <c r="A220" s="7" t="s">
        <v>1001</v>
      </c>
      <c r="B220" s="8"/>
      <c r="C220" s="9" t="s">
        <v>1002</v>
      </c>
      <c r="D220" s="87">
        <v>0</v>
      </c>
      <c r="E220" s="87"/>
      <c r="F220" s="87"/>
    </row>
    <row r="221" spans="1:6" x14ac:dyDescent="0.25">
      <c r="A221" s="7" t="s">
        <v>1003</v>
      </c>
      <c r="B221" s="8"/>
      <c r="C221" s="9" t="s">
        <v>1004</v>
      </c>
      <c r="D221" s="87">
        <v>0</v>
      </c>
      <c r="E221" s="87"/>
      <c r="F221" s="87"/>
    </row>
    <row r="222" spans="1:6" x14ac:dyDescent="0.25">
      <c r="A222" s="7" t="s">
        <v>1005</v>
      </c>
      <c r="B222" s="8"/>
      <c r="C222" s="9" t="s">
        <v>1006</v>
      </c>
      <c r="D222" s="87">
        <v>40</v>
      </c>
      <c r="E222" s="87"/>
      <c r="F222" s="87"/>
    </row>
    <row r="223" spans="1:6" x14ac:dyDescent="0.25">
      <c r="A223" s="7" t="s">
        <v>1007</v>
      </c>
      <c r="B223" s="8"/>
      <c r="C223" s="9" t="s">
        <v>1008</v>
      </c>
      <c r="D223" s="87">
        <v>76</v>
      </c>
      <c r="E223" s="87"/>
      <c r="F223" s="87"/>
    </row>
    <row r="224" spans="1:6" x14ac:dyDescent="0.25">
      <c r="A224" s="7" t="s">
        <v>1009</v>
      </c>
      <c r="B224" s="8"/>
      <c r="C224" s="9" t="s">
        <v>1010</v>
      </c>
      <c r="D224" s="87">
        <v>3</v>
      </c>
      <c r="E224" s="87"/>
      <c r="F224" s="87"/>
    </row>
    <row r="225" spans="1:6" x14ac:dyDescent="0.25">
      <c r="A225" s="7" t="s">
        <v>1011</v>
      </c>
      <c r="B225" s="8"/>
      <c r="C225" s="9" t="s">
        <v>1012</v>
      </c>
      <c r="D225" s="87">
        <v>2</v>
      </c>
      <c r="E225" s="87"/>
      <c r="F225" s="87"/>
    </row>
    <row r="226" spans="1:6" x14ac:dyDescent="0.25">
      <c r="A226" s="7" t="s">
        <v>1013</v>
      </c>
      <c r="B226" s="8"/>
      <c r="C226" s="9" t="s">
        <v>1014</v>
      </c>
      <c r="D226" s="87">
        <v>0</v>
      </c>
      <c r="E226" s="87"/>
      <c r="F226" s="87"/>
    </row>
    <row r="227" spans="1:6" x14ac:dyDescent="0.25">
      <c r="A227" s="7" t="s">
        <v>1015</v>
      </c>
      <c r="B227" s="8"/>
      <c r="C227" s="9" t="s">
        <v>1016</v>
      </c>
      <c r="D227" s="87">
        <v>0</v>
      </c>
      <c r="E227" s="87"/>
      <c r="F227" s="87"/>
    </row>
    <row r="228" spans="1:6" x14ac:dyDescent="0.25">
      <c r="A228" s="7" t="s">
        <v>1017</v>
      </c>
      <c r="B228" s="8"/>
      <c r="C228" s="9" t="s">
        <v>1018</v>
      </c>
      <c r="D228" s="87">
        <v>7</v>
      </c>
      <c r="E228" s="87"/>
      <c r="F228" s="87"/>
    </row>
    <row r="229" spans="1:6" x14ac:dyDescent="0.25">
      <c r="A229" s="7" t="s">
        <v>1019</v>
      </c>
      <c r="B229" s="8"/>
      <c r="C229" s="9" t="s">
        <v>1020</v>
      </c>
      <c r="D229" s="87">
        <v>13</v>
      </c>
      <c r="E229" s="87"/>
      <c r="F229" s="87"/>
    </row>
    <row r="230" spans="1:6" x14ac:dyDescent="0.25">
      <c r="A230" s="7" t="s">
        <v>1021</v>
      </c>
      <c r="B230" s="8"/>
      <c r="C230" s="9" t="s">
        <v>1022</v>
      </c>
      <c r="D230" s="87">
        <v>1</v>
      </c>
      <c r="E230" s="87"/>
      <c r="F230" s="87"/>
    </row>
    <row r="231" spans="1:6" x14ac:dyDescent="0.25">
      <c r="A231" s="7" t="s">
        <v>1023</v>
      </c>
      <c r="B231" s="8"/>
      <c r="C231" s="9" t="s">
        <v>1024</v>
      </c>
      <c r="D231" s="87">
        <v>7</v>
      </c>
      <c r="E231" s="87"/>
      <c r="F231" s="87"/>
    </row>
    <row r="232" spans="1:6" x14ac:dyDescent="0.25">
      <c r="A232" s="7" t="s">
        <v>1025</v>
      </c>
      <c r="B232" s="8"/>
      <c r="C232" s="9" t="s">
        <v>1026</v>
      </c>
      <c r="D232" s="87">
        <v>2</v>
      </c>
      <c r="E232" s="87"/>
      <c r="F232" s="87"/>
    </row>
    <row r="233" spans="1:6" x14ac:dyDescent="0.25">
      <c r="A233" s="7" t="s">
        <v>1027</v>
      </c>
      <c r="B233" s="8"/>
      <c r="C233" s="9" t="s">
        <v>1028</v>
      </c>
      <c r="D233" s="87">
        <v>0</v>
      </c>
      <c r="E233" s="87"/>
      <c r="F233" s="87"/>
    </row>
    <row r="234" spans="1:6" x14ac:dyDescent="0.25">
      <c r="A234" s="7" t="s">
        <v>1029</v>
      </c>
      <c r="B234" s="8"/>
      <c r="C234" s="9" t="s">
        <v>1030</v>
      </c>
      <c r="D234" s="87">
        <v>88</v>
      </c>
      <c r="E234" s="87"/>
      <c r="F234" s="87"/>
    </row>
    <row r="235" spans="1:6" x14ac:dyDescent="0.25">
      <c r="A235" s="7" t="s">
        <v>1031</v>
      </c>
      <c r="B235" s="8"/>
      <c r="C235" s="9" t="s">
        <v>1032</v>
      </c>
      <c r="D235" s="87">
        <v>11</v>
      </c>
      <c r="E235" s="87"/>
      <c r="F235" s="87"/>
    </row>
    <row r="236" spans="1:6" x14ac:dyDescent="0.25">
      <c r="A236" s="7" t="s">
        <v>1033</v>
      </c>
      <c r="B236" s="8"/>
      <c r="C236" s="9" t="s">
        <v>639</v>
      </c>
      <c r="D236" s="87">
        <v>42</v>
      </c>
      <c r="E236" s="87"/>
      <c r="F236" s="87"/>
    </row>
    <row r="237" spans="1:6" x14ac:dyDescent="0.25">
      <c r="A237" s="7" t="s">
        <v>1034</v>
      </c>
      <c r="B237" s="8"/>
      <c r="C237" s="9" t="s">
        <v>617</v>
      </c>
      <c r="D237" s="87">
        <v>7</v>
      </c>
      <c r="E237" s="87"/>
      <c r="F237" s="87"/>
    </row>
    <row r="238" spans="1:6" x14ac:dyDescent="0.25">
      <c r="A238" s="7" t="s">
        <v>1035</v>
      </c>
      <c r="B238" s="8"/>
      <c r="C238" s="9" t="s">
        <v>619</v>
      </c>
      <c r="D238" s="87">
        <v>24</v>
      </c>
      <c r="E238" s="87"/>
      <c r="F238" s="87"/>
    </row>
    <row r="239" spans="1:6" x14ac:dyDescent="0.25">
      <c r="A239" s="7" t="s">
        <v>1036</v>
      </c>
      <c r="B239" s="8"/>
      <c r="C239" s="9" t="s">
        <v>621</v>
      </c>
      <c r="D239" s="87">
        <v>3</v>
      </c>
      <c r="E239" s="87"/>
      <c r="F239" s="87"/>
    </row>
    <row r="240" spans="1:6" x14ac:dyDescent="0.25">
      <c r="A240" s="7" t="s">
        <v>1037</v>
      </c>
      <c r="B240" s="8"/>
      <c r="C240" s="9" t="s">
        <v>623</v>
      </c>
      <c r="D240" s="87">
        <v>23</v>
      </c>
      <c r="E240" s="87"/>
      <c r="F240" s="87"/>
    </row>
    <row r="241" spans="1:6" x14ac:dyDescent="0.25">
      <c r="A241" s="7" t="s">
        <v>1038</v>
      </c>
      <c r="B241" s="8"/>
      <c r="C241" s="9" t="s">
        <v>625</v>
      </c>
      <c r="D241" s="87">
        <v>8</v>
      </c>
      <c r="E241" s="87"/>
      <c r="F241" s="87"/>
    </row>
    <row r="242" spans="1:6" x14ac:dyDescent="0.25">
      <c r="A242" s="7" t="s">
        <v>1039</v>
      </c>
      <c r="B242" s="8"/>
      <c r="C242" s="9" t="s">
        <v>1040</v>
      </c>
      <c r="D242" s="87">
        <v>2</v>
      </c>
      <c r="E242" s="87"/>
      <c r="F242" s="87"/>
    </row>
    <row r="243" spans="1:6" x14ac:dyDescent="0.25">
      <c r="A243" s="7" t="s">
        <v>1041</v>
      </c>
      <c r="B243" s="8"/>
      <c r="C243" s="9" t="s">
        <v>641</v>
      </c>
      <c r="D243" s="87">
        <v>175</v>
      </c>
      <c r="E243" s="87"/>
      <c r="F243" s="87"/>
    </row>
    <row r="244" spans="1:6" x14ac:dyDescent="0.25">
      <c r="A244" s="7" t="s">
        <v>1042</v>
      </c>
      <c r="B244" s="8"/>
      <c r="C244" s="9" t="s">
        <v>1043</v>
      </c>
      <c r="D244" s="87">
        <v>181</v>
      </c>
      <c r="E244" s="87"/>
      <c r="F244" s="87"/>
    </row>
    <row r="245" spans="1:6" x14ac:dyDescent="0.25">
      <c r="A245" s="7" t="s">
        <v>1044</v>
      </c>
      <c r="B245" s="8"/>
      <c r="C245" s="9" t="s">
        <v>635</v>
      </c>
      <c r="D245" s="87">
        <v>58</v>
      </c>
      <c r="E245" s="87"/>
      <c r="F245" s="87"/>
    </row>
    <row r="246" spans="1:6" x14ac:dyDescent="0.25">
      <c r="A246" s="7" t="s">
        <v>1045</v>
      </c>
      <c r="B246" s="8"/>
      <c r="C246" s="9" t="s">
        <v>1046</v>
      </c>
      <c r="D246" s="87">
        <v>265</v>
      </c>
      <c r="E246" s="87"/>
      <c r="F246" s="87"/>
    </row>
    <row r="247" spans="1:6" x14ac:dyDescent="0.25">
      <c r="A247" s="7" t="s">
        <v>1047</v>
      </c>
      <c r="B247" s="8"/>
      <c r="C247" s="9" t="s">
        <v>1048</v>
      </c>
      <c r="D247" s="87">
        <v>6</v>
      </c>
      <c r="E247" s="87"/>
      <c r="F247" s="87"/>
    </row>
    <row r="248" spans="1:6" x14ac:dyDescent="0.25">
      <c r="A248" s="7" t="s">
        <v>1049</v>
      </c>
      <c r="B248" s="8"/>
      <c r="C248" s="9" t="s">
        <v>1050</v>
      </c>
      <c r="D248" s="87">
        <v>2300</v>
      </c>
      <c r="E248" s="87"/>
      <c r="F248" s="87"/>
    </row>
    <row r="249" spans="1:6" x14ac:dyDescent="0.25">
      <c r="A249" s="7" t="s">
        <v>1051</v>
      </c>
      <c r="B249" s="8"/>
      <c r="C249" s="9" t="s">
        <v>629</v>
      </c>
      <c r="D249" s="87">
        <v>24</v>
      </c>
      <c r="E249" s="87"/>
      <c r="F249" s="87"/>
    </row>
    <row r="250" spans="1:6" x14ac:dyDescent="0.25">
      <c r="A250" s="7" t="s">
        <v>1052</v>
      </c>
      <c r="B250" s="8"/>
      <c r="C250" s="9" t="s">
        <v>631</v>
      </c>
      <c r="D250" s="87">
        <v>10</v>
      </c>
      <c r="E250" s="87"/>
      <c r="F250" s="87"/>
    </row>
    <row r="251" spans="1:6" x14ac:dyDescent="0.25">
      <c r="A251" s="7" t="s">
        <v>1053</v>
      </c>
      <c r="B251" s="8"/>
      <c r="C251" s="9" t="s">
        <v>1054</v>
      </c>
      <c r="D251" s="87">
        <v>15</v>
      </c>
      <c r="E251" s="87"/>
      <c r="F251" s="87"/>
    </row>
    <row r="252" spans="1:6" x14ac:dyDescent="0.25">
      <c r="A252" s="7" t="s">
        <v>1055</v>
      </c>
      <c r="B252" s="8"/>
      <c r="C252" s="9" t="s">
        <v>1056</v>
      </c>
      <c r="D252" s="87">
        <v>284</v>
      </c>
      <c r="E252" s="87"/>
      <c r="F252" s="87"/>
    </row>
    <row r="253" spans="1:6" x14ac:dyDescent="0.25">
      <c r="A253" s="7" t="s">
        <v>1057</v>
      </c>
      <c r="B253" s="8"/>
      <c r="C253" s="9" t="s">
        <v>1058</v>
      </c>
      <c r="D253" s="87">
        <v>644</v>
      </c>
      <c r="E253" s="87"/>
      <c r="F253" s="87"/>
    </row>
    <row r="254" spans="1:6" x14ac:dyDescent="0.25">
      <c r="A254" s="7" t="s">
        <v>1059</v>
      </c>
      <c r="B254" s="8"/>
      <c r="C254" s="9" t="s">
        <v>1060</v>
      </c>
      <c r="D254" s="87">
        <v>5</v>
      </c>
      <c r="E254" s="87"/>
      <c r="F254" s="87"/>
    </row>
    <row r="255" spans="1:6" x14ac:dyDescent="0.25">
      <c r="A255" s="7" t="s">
        <v>1061</v>
      </c>
      <c r="B255" s="8"/>
      <c r="C255" s="9" t="s">
        <v>1062</v>
      </c>
      <c r="D255" s="87">
        <v>54</v>
      </c>
      <c r="E255" s="87"/>
      <c r="F255" s="87"/>
    </row>
    <row r="256" spans="1:6" x14ac:dyDescent="0.25">
      <c r="A256" s="7" t="s">
        <v>1063</v>
      </c>
      <c r="B256" s="8"/>
      <c r="C256" s="9" t="s">
        <v>645</v>
      </c>
      <c r="D256" s="87">
        <v>14</v>
      </c>
      <c r="E256" s="87"/>
      <c r="F256" s="87"/>
    </row>
    <row r="257" spans="1:6" x14ac:dyDescent="0.25">
      <c r="A257" s="7" t="s">
        <v>1064</v>
      </c>
      <c r="B257" s="8"/>
      <c r="C257" s="9" t="s">
        <v>647</v>
      </c>
      <c r="D257" s="87">
        <v>29</v>
      </c>
      <c r="E257" s="87"/>
      <c r="F257" s="87"/>
    </row>
    <row r="258" spans="1:6" x14ac:dyDescent="0.25">
      <c r="A258" s="7" t="s">
        <v>1065</v>
      </c>
      <c r="B258" s="8"/>
      <c r="C258" s="9" t="s">
        <v>649</v>
      </c>
      <c r="D258" s="87">
        <v>1</v>
      </c>
      <c r="E258" s="87"/>
      <c r="F258" s="87"/>
    </row>
    <row r="259" spans="1:6" x14ac:dyDescent="0.25">
      <c r="A259" s="7" t="s">
        <v>1066</v>
      </c>
      <c r="B259" s="8"/>
      <c r="C259" s="9" t="s">
        <v>651</v>
      </c>
      <c r="D259" s="87">
        <v>272</v>
      </c>
      <c r="E259" s="87"/>
      <c r="F259" s="87"/>
    </row>
    <row r="260" spans="1:6" x14ac:dyDescent="0.25">
      <c r="A260" s="7" t="s">
        <v>1067</v>
      </c>
      <c r="B260" s="8"/>
      <c r="C260" s="9" t="s">
        <v>653</v>
      </c>
      <c r="D260" s="87">
        <v>5</v>
      </c>
      <c r="E260" s="87"/>
      <c r="F260" s="87"/>
    </row>
    <row r="261" spans="1:6" x14ac:dyDescent="0.25">
      <c r="A261" s="7" t="s">
        <v>1068</v>
      </c>
      <c r="B261" s="8"/>
      <c r="C261" s="9" t="s">
        <v>1069</v>
      </c>
      <c r="D261" s="87">
        <v>21</v>
      </c>
      <c r="E261" s="87"/>
      <c r="F261" s="87"/>
    </row>
    <row r="262" spans="1:6" x14ac:dyDescent="0.25">
      <c r="A262" s="7" t="s">
        <v>1070</v>
      </c>
      <c r="B262" s="8"/>
      <c r="C262" s="9" t="s">
        <v>1071</v>
      </c>
      <c r="D262" s="87">
        <v>853</v>
      </c>
      <c r="E262" s="87"/>
      <c r="F262" s="87"/>
    </row>
    <row r="263" spans="1:6" x14ac:dyDescent="0.25">
      <c r="A263" s="7" t="s">
        <v>1072</v>
      </c>
      <c r="B263" s="8"/>
      <c r="C263" s="9" t="s">
        <v>1073</v>
      </c>
      <c r="D263" s="87">
        <v>207</v>
      </c>
      <c r="E263" s="87"/>
      <c r="F263" s="87"/>
    </row>
    <row r="264" spans="1:6" x14ac:dyDescent="0.25">
      <c r="A264" s="7" t="s">
        <v>1074</v>
      </c>
      <c r="B264" s="8"/>
      <c r="C264" s="9" t="s">
        <v>1075</v>
      </c>
      <c r="D264" s="87">
        <v>1456</v>
      </c>
      <c r="E264" s="87"/>
      <c r="F264" s="87"/>
    </row>
    <row r="265" spans="1:6" x14ac:dyDescent="0.25">
      <c r="A265" s="7" t="s">
        <v>1076</v>
      </c>
      <c r="B265" s="8"/>
      <c r="C265" s="9" t="s">
        <v>607</v>
      </c>
      <c r="D265" s="87">
        <v>446</v>
      </c>
      <c r="E265" s="87"/>
      <c r="F265" s="87"/>
    </row>
    <row r="266" spans="1:6" x14ac:dyDescent="0.25">
      <c r="A266" s="7" t="s">
        <v>1077</v>
      </c>
      <c r="B266" s="8"/>
      <c r="C266" s="9" t="s">
        <v>1078</v>
      </c>
      <c r="D266" s="87">
        <v>22</v>
      </c>
      <c r="E266" s="87"/>
      <c r="F266" s="87"/>
    </row>
    <row r="267" spans="1:6" x14ac:dyDescent="0.25">
      <c r="A267" s="7" t="s">
        <v>1079</v>
      </c>
      <c r="B267" s="8"/>
      <c r="C267" s="9" t="s">
        <v>1080</v>
      </c>
      <c r="D267" s="87">
        <v>4</v>
      </c>
      <c r="E267" s="87"/>
      <c r="F267" s="87"/>
    </row>
    <row r="268" spans="1:6" x14ac:dyDescent="0.25">
      <c r="A268" s="7" t="s">
        <v>1081</v>
      </c>
      <c r="B268" s="8"/>
      <c r="C268" s="9" t="s">
        <v>1082</v>
      </c>
      <c r="D268" s="87">
        <v>500</v>
      </c>
      <c r="E268" s="87"/>
      <c r="F268" s="87"/>
    </row>
    <row r="269" spans="1:6" x14ac:dyDescent="0.25">
      <c r="A269" s="7" t="s">
        <v>1083</v>
      </c>
      <c r="B269" s="8"/>
      <c r="C269" s="9" t="s">
        <v>1084</v>
      </c>
      <c r="D269" s="87">
        <v>57</v>
      </c>
      <c r="E269" s="87"/>
      <c r="F269" s="87"/>
    </row>
    <row r="270" spans="1:6" x14ac:dyDescent="0.25">
      <c r="A270" s="7" t="s">
        <v>1085</v>
      </c>
      <c r="B270" s="8"/>
      <c r="C270" s="9" t="s">
        <v>1086</v>
      </c>
      <c r="D270" s="87">
        <v>36</v>
      </c>
      <c r="E270" s="87"/>
      <c r="F270" s="87"/>
    </row>
    <row r="271" spans="1:6" x14ac:dyDescent="0.25">
      <c r="A271" s="7" t="s">
        <v>1005</v>
      </c>
      <c r="B271" s="8"/>
      <c r="C271" s="9" t="s">
        <v>1006</v>
      </c>
      <c r="D271" s="87">
        <v>40</v>
      </c>
      <c r="E271" s="87"/>
      <c r="F271" s="87"/>
    </row>
    <row r="272" spans="1:6" x14ac:dyDescent="0.25">
      <c r="A272" s="7" t="s">
        <v>1017</v>
      </c>
      <c r="B272" s="8"/>
      <c r="C272" s="9" t="s">
        <v>1018</v>
      </c>
      <c r="D272" s="87">
        <v>7</v>
      </c>
      <c r="E272" s="87"/>
      <c r="F272" s="87"/>
    </row>
    <row r="273" spans="1:6" x14ac:dyDescent="0.25">
      <c r="A273" s="7" t="s">
        <v>1087</v>
      </c>
      <c r="B273" s="8"/>
      <c r="C273" s="9" t="s">
        <v>1088</v>
      </c>
      <c r="D273" s="87">
        <v>1</v>
      </c>
      <c r="E273" s="87"/>
      <c r="F273" s="87"/>
    </row>
    <row r="274" spans="1:6" x14ac:dyDescent="0.25">
      <c r="A274" s="7" t="s">
        <v>1089</v>
      </c>
      <c r="B274" s="8"/>
      <c r="C274" s="9" t="s">
        <v>1090</v>
      </c>
      <c r="D274" s="87">
        <v>0</v>
      </c>
      <c r="E274" s="87"/>
      <c r="F274" s="87"/>
    </row>
    <row r="275" spans="1:6" x14ac:dyDescent="0.25">
      <c r="A275" s="7" t="s">
        <v>1091</v>
      </c>
      <c r="B275" s="8"/>
      <c r="C275" s="9" t="s">
        <v>1092</v>
      </c>
      <c r="D275" s="87">
        <v>5</v>
      </c>
      <c r="E275" s="87"/>
      <c r="F275" s="87"/>
    </row>
    <row r="276" spans="1:6" x14ac:dyDescent="0.25">
      <c r="A276" s="7" t="s">
        <v>1093</v>
      </c>
      <c r="B276" s="8"/>
      <c r="C276" s="9" t="s">
        <v>1094</v>
      </c>
      <c r="D276" s="87">
        <v>7</v>
      </c>
      <c r="E276" s="87"/>
      <c r="F276" s="87"/>
    </row>
    <row r="277" spans="1:6" x14ac:dyDescent="0.25">
      <c r="A277" s="7" t="s">
        <v>1095</v>
      </c>
      <c r="B277" s="8"/>
      <c r="C277" s="9" t="s">
        <v>1096</v>
      </c>
      <c r="D277" s="87">
        <v>121</v>
      </c>
      <c r="E277" s="87"/>
      <c r="F277" s="87"/>
    </row>
    <row r="278" spans="1:6" x14ac:dyDescent="0.25">
      <c r="A278" s="7" t="s">
        <v>1097</v>
      </c>
      <c r="B278" s="8"/>
      <c r="C278" s="9" t="s">
        <v>1098</v>
      </c>
      <c r="D278" s="87">
        <v>0</v>
      </c>
      <c r="E278" s="87"/>
      <c r="F278" s="87"/>
    </row>
    <row r="279" spans="1:6" x14ac:dyDescent="0.25">
      <c r="A279" s="7" t="s">
        <v>1099</v>
      </c>
      <c r="B279" s="8"/>
      <c r="C279" s="9" t="s">
        <v>1100</v>
      </c>
      <c r="D279" s="87">
        <v>9</v>
      </c>
      <c r="E279" s="87"/>
      <c r="F279" s="87"/>
    </row>
    <row r="280" spans="1:6" x14ac:dyDescent="0.25">
      <c r="A280" s="7" t="s">
        <v>1101</v>
      </c>
      <c r="B280" s="8"/>
      <c r="C280" s="9" t="s">
        <v>1102</v>
      </c>
      <c r="D280" s="87">
        <v>46</v>
      </c>
      <c r="E280" s="87"/>
      <c r="F280" s="87"/>
    </row>
    <row r="281" spans="1:6" x14ac:dyDescent="0.25">
      <c r="A281" s="7" t="s">
        <v>1103</v>
      </c>
      <c r="B281" s="8"/>
      <c r="C281" s="9" t="s">
        <v>1104</v>
      </c>
      <c r="D281" s="87">
        <v>652</v>
      </c>
      <c r="E281" s="87"/>
      <c r="F281" s="87"/>
    </row>
    <row r="282" spans="1:6" ht="15.75" thickBot="1" x14ac:dyDescent="0.3">
      <c r="A282" s="11" t="s">
        <v>1105</v>
      </c>
      <c r="B282" s="12"/>
      <c r="C282" s="14" t="s">
        <v>1106</v>
      </c>
      <c r="D282" s="87">
        <v>9</v>
      </c>
      <c r="E282" s="87"/>
      <c r="F282" s="87"/>
    </row>
  </sheetData>
  <mergeCells count="20">
    <mergeCell ref="A1:C1"/>
    <mergeCell ref="A2:C2"/>
    <mergeCell ref="A5:C5"/>
    <mergeCell ref="N5:O6"/>
    <mergeCell ref="P5:Q5"/>
    <mergeCell ref="P6:Q6"/>
    <mergeCell ref="N4:Q4"/>
    <mergeCell ref="A16:C16"/>
    <mergeCell ref="A45:C45"/>
    <mergeCell ref="F7:F15"/>
    <mergeCell ref="E7:E15"/>
    <mergeCell ref="D7:D15"/>
    <mergeCell ref="U4:X4"/>
    <mergeCell ref="U5:V6"/>
    <mergeCell ref="W5:X5"/>
    <mergeCell ref="W6:X6"/>
    <mergeCell ref="AA4:AD4"/>
    <mergeCell ref="AA5:AB6"/>
    <mergeCell ref="AC5:AD5"/>
    <mergeCell ref="AC6:AD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99B7-C756-451B-84C8-6DF85725E8BA}">
  <dimension ref="A1:AA68"/>
  <sheetViews>
    <sheetView topLeftCell="A7" zoomScale="60" zoomScaleNormal="60" workbookViewId="0">
      <selection activeCell="I18" sqref="I18"/>
    </sheetView>
  </sheetViews>
  <sheetFormatPr defaultRowHeight="15" x14ac:dyDescent="0.25"/>
  <cols>
    <col min="3" max="3" width="101.7109375" customWidth="1"/>
  </cols>
  <sheetData>
    <row r="1" spans="1:27" ht="36" customHeight="1" thickBot="1" x14ac:dyDescent="0.3">
      <c r="A1" s="133" t="s">
        <v>1114</v>
      </c>
      <c r="B1" s="134"/>
      <c r="C1" s="135"/>
      <c r="D1" s="86" t="s">
        <v>1130</v>
      </c>
      <c r="E1" s="86" t="s">
        <v>1128</v>
      </c>
      <c r="F1" s="86" t="s">
        <v>1129</v>
      </c>
      <c r="H1" s="71"/>
      <c r="N1" s="71"/>
      <c r="O1" s="71"/>
    </row>
    <row r="2" spans="1:27" ht="25.5" customHeight="1" x14ac:dyDescent="0.25">
      <c r="A2" s="116" t="s">
        <v>1113</v>
      </c>
      <c r="B2" s="117"/>
      <c r="C2" s="118"/>
      <c r="H2" s="72"/>
      <c r="I2" s="72"/>
      <c r="J2" s="74"/>
      <c r="K2" s="74"/>
      <c r="L2" s="74"/>
      <c r="N2" s="71"/>
      <c r="O2" s="71"/>
    </row>
    <row r="3" spans="1:27" x14ac:dyDescent="0.25">
      <c r="A3" s="15" t="s">
        <v>113</v>
      </c>
      <c r="B3" s="16" t="s">
        <v>95</v>
      </c>
      <c r="C3" s="17" t="s">
        <v>94</v>
      </c>
      <c r="E3" s="47" t="s">
        <v>1135</v>
      </c>
      <c r="H3" s="72"/>
      <c r="I3" s="72"/>
      <c r="J3" s="73"/>
      <c r="K3" s="73"/>
      <c r="L3" s="73"/>
      <c r="N3" s="71"/>
      <c r="O3" s="71"/>
    </row>
    <row r="4" spans="1:27" ht="15.75" thickBot="1" x14ac:dyDescent="0.3">
      <c r="A4" s="1">
        <v>20002</v>
      </c>
      <c r="B4" s="2">
        <v>1065</v>
      </c>
      <c r="C4" s="3" t="s">
        <v>112</v>
      </c>
      <c r="D4" s="87">
        <v>121056</v>
      </c>
      <c r="E4" s="93" t="s">
        <v>1135</v>
      </c>
      <c r="F4" s="88" t="s">
        <v>1131</v>
      </c>
      <c r="H4" s="72"/>
      <c r="I4" s="72"/>
      <c r="J4" s="73"/>
      <c r="K4" s="73"/>
      <c r="L4" s="73"/>
      <c r="N4" s="71"/>
      <c r="O4" s="71"/>
    </row>
    <row r="5" spans="1:27" ht="26.25" customHeight="1" x14ac:dyDescent="0.25">
      <c r="A5" s="116" t="s">
        <v>1107</v>
      </c>
      <c r="B5" s="117"/>
      <c r="C5" s="118"/>
      <c r="H5" s="72"/>
      <c r="I5" s="72"/>
      <c r="J5" s="72"/>
      <c r="K5" s="72"/>
      <c r="L5" s="72"/>
      <c r="N5" s="71"/>
      <c r="O5" s="71"/>
    </row>
    <row r="6" spans="1:27" ht="15.75" thickBot="1" x14ac:dyDescent="0.3">
      <c r="A6" s="136" t="s">
        <v>95</v>
      </c>
      <c r="B6" s="137"/>
      <c r="C6" s="17" t="s">
        <v>94</v>
      </c>
      <c r="H6" s="72"/>
      <c r="I6" s="72"/>
      <c r="J6" s="72"/>
      <c r="K6" s="72"/>
      <c r="L6" s="72"/>
      <c r="N6" s="71"/>
      <c r="O6" s="71"/>
    </row>
    <row r="7" spans="1:27" ht="15.75" thickBot="1" x14ac:dyDescent="0.3">
      <c r="A7" s="4" t="s">
        <v>111</v>
      </c>
      <c r="B7" s="5"/>
      <c r="C7" s="6" t="s">
        <v>110</v>
      </c>
      <c r="D7" s="87">
        <v>151019</v>
      </c>
      <c r="E7" s="87"/>
      <c r="F7" s="87"/>
      <c r="H7" s="72"/>
      <c r="I7" s="72"/>
      <c r="J7" s="72"/>
      <c r="K7" s="72"/>
      <c r="L7" s="130" t="s">
        <v>1130</v>
      </c>
      <c r="M7" s="131"/>
      <c r="N7" s="131"/>
      <c r="O7" s="132"/>
      <c r="R7" s="130" t="s">
        <v>1144</v>
      </c>
      <c r="S7" s="131"/>
      <c r="T7" s="131"/>
      <c r="U7" s="132"/>
      <c r="X7" s="130" t="s">
        <v>1145</v>
      </c>
      <c r="Y7" s="131"/>
      <c r="Z7" s="131"/>
      <c r="AA7" s="132"/>
    </row>
    <row r="8" spans="1:27" x14ac:dyDescent="0.25">
      <c r="A8" s="7" t="s">
        <v>109</v>
      </c>
      <c r="B8" s="8"/>
      <c r="C8" s="9" t="s">
        <v>92</v>
      </c>
      <c r="D8" s="87">
        <v>0</v>
      </c>
      <c r="E8" s="87"/>
      <c r="F8" s="87"/>
      <c r="L8" s="99" t="s">
        <v>1114</v>
      </c>
      <c r="M8" s="100"/>
      <c r="N8" s="128" t="s">
        <v>1117</v>
      </c>
      <c r="O8" s="129"/>
      <c r="R8" s="99" t="s">
        <v>1114</v>
      </c>
      <c r="S8" s="100"/>
      <c r="T8" s="128" t="s">
        <v>1151</v>
      </c>
      <c r="U8" s="129"/>
      <c r="X8" s="99" t="s">
        <v>1114</v>
      </c>
      <c r="Y8" s="100"/>
      <c r="Z8" s="128" t="s">
        <v>1156</v>
      </c>
      <c r="AA8" s="129"/>
    </row>
    <row r="9" spans="1:27" ht="15.75" thickBot="1" x14ac:dyDescent="0.3">
      <c r="A9" s="7" t="s">
        <v>71</v>
      </c>
      <c r="B9" s="8"/>
      <c r="C9" s="9" t="s">
        <v>108</v>
      </c>
      <c r="D9" s="87">
        <v>130</v>
      </c>
      <c r="E9" s="87"/>
      <c r="F9" s="87"/>
      <c r="L9" s="101"/>
      <c r="M9" s="102"/>
      <c r="N9" s="104">
        <v>0.40760000000000002</v>
      </c>
      <c r="O9" s="102"/>
      <c r="R9" s="101"/>
      <c r="S9" s="102"/>
      <c r="T9" s="104">
        <v>0.4047</v>
      </c>
      <c r="U9" s="102"/>
      <c r="X9" s="101"/>
      <c r="Y9" s="102"/>
      <c r="Z9" s="104" t="s">
        <v>1157</v>
      </c>
      <c r="AA9" s="102"/>
    </row>
    <row r="10" spans="1:27" x14ac:dyDescent="0.25">
      <c r="A10" s="7" t="s">
        <v>68</v>
      </c>
      <c r="B10" s="8"/>
      <c r="C10" s="9" t="s">
        <v>107</v>
      </c>
      <c r="D10" s="87">
        <v>279</v>
      </c>
      <c r="E10" s="87"/>
      <c r="F10" s="87"/>
      <c r="H10" s="71"/>
      <c r="J10" s="71"/>
      <c r="K10" s="71"/>
      <c r="L10" s="71"/>
      <c r="M10" s="71"/>
      <c r="N10" s="71"/>
      <c r="O10" s="71"/>
    </row>
    <row r="11" spans="1:27" x14ac:dyDescent="0.25">
      <c r="A11" s="7" t="s">
        <v>106</v>
      </c>
      <c r="B11" s="8"/>
      <c r="C11" s="9" t="s">
        <v>65</v>
      </c>
      <c r="D11" s="87">
        <v>0</v>
      </c>
      <c r="E11" s="87"/>
      <c r="F11" s="87"/>
      <c r="H11" s="71"/>
      <c r="I11" s="71"/>
      <c r="J11" s="71"/>
      <c r="K11" s="71"/>
      <c r="L11" s="71"/>
      <c r="M11" s="71"/>
      <c r="N11" s="71"/>
      <c r="O11" s="71"/>
    </row>
    <row r="12" spans="1:27" x14ac:dyDescent="0.25">
      <c r="A12" s="7" t="s">
        <v>105</v>
      </c>
      <c r="B12" s="8"/>
      <c r="C12" s="9" t="s">
        <v>58</v>
      </c>
      <c r="D12" s="87">
        <v>1972</v>
      </c>
      <c r="E12" s="87"/>
      <c r="F12" s="87"/>
      <c r="H12" s="71"/>
      <c r="I12" s="71"/>
      <c r="J12" s="71"/>
      <c r="K12" s="71"/>
      <c r="L12" s="71"/>
      <c r="M12" s="71"/>
      <c r="N12" s="71"/>
      <c r="O12" s="71"/>
    </row>
    <row r="13" spans="1:27" x14ac:dyDescent="0.25">
      <c r="A13" s="7" t="s">
        <v>2</v>
      </c>
      <c r="B13" s="8"/>
      <c r="C13" s="9" t="s">
        <v>104</v>
      </c>
      <c r="D13" s="87">
        <v>387</v>
      </c>
      <c r="E13" s="87"/>
      <c r="F13" s="87"/>
      <c r="H13" s="71"/>
      <c r="I13" s="71"/>
      <c r="J13" s="71"/>
      <c r="K13" s="71"/>
      <c r="L13" s="71"/>
      <c r="M13" s="71"/>
      <c r="N13" s="71"/>
      <c r="O13" s="71"/>
    </row>
    <row r="14" spans="1:27" x14ac:dyDescent="0.25">
      <c r="A14" s="7" t="s">
        <v>103</v>
      </c>
      <c r="B14" s="8"/>
      <c r="C14" s="9" t="s">
        <v>54</v>
      </c>
      <c r="D14" s="87">
        <v>0</v>
      </c>
      <c r="E14" s="87"/>
      <c r="F14" s="87"/>
      <c r="H14" s="71"/>
      <c r="I14" s="71"/>
      <c r="J14" s="71"/>
      <c r="K14" s="71"/>
      <c r="L14" s="71"/>
      <c r="M14" s="71"/>
      <c r="N14" s="71"/>
      <c r="O14" s="71"/>
    </row>
    <row r="15" spans="1:27" x14ac:dyDescent="0.25">
      <c r="A15" s="7" t="s">
        <v>48</v>
      </c>
      <c r="B15" s="8"/>
      <c r="C15" s="9" t="s">
        <v>47</v>
      </c>
      <c r="D15" s="87">
        <v>30</v>
      </c>
      <c r="E15" s="87"/>
      <c r="F15" s="87"/>
    </row>
    <row r="16" spans="1:27" x14ac:dyDescent="0.25">
      <c r="A16" s="7" t="s">
        <v>45</v>
      </c>
      <c r="B16" s="8"/>
      <c r="C16" s="10" t="s">
        <v>44</v>
      </c>
      <c r="D16" s="87">
        <v>17</v>
      </c>
      <c r="E16" s="87"/>
      <c r="F16" s="87"/>
    </row>
    <row r="17" spans="1:6" x14ac:dyDescent="0.25">
      <c r="A17" s="7" t="s">
        <v>42</v>
      </c>
      <c r="B17" s="8"/>
      <c r="C17" s="10" t="s">
        <v>41</v>
      </c>
      <c r="D17" s="87">
        <v>60</v>
      </c>
      <c r="E17" s="87"/>
      <c r="F17" s="87"/>
    </row>
    <row r="18" spans="1:6" x14ac:dyDescent="0.25">
      <c r="A18" s="7" t="s">
        <v>39</v>
      </c>
      <c r="B18" s="8"/>
      <c r="C18" s="10" t="s">
        <v>102</v>
      </c>
      <c r="D18" s="87">
        <v>46</v>
      </c>
      <c r="E18" s="87"/>
      <c r="F18" s="87"/>
    </row>
    <row r="19" spans="1:6" x14ac:dyDescent="0.25">
      <c r="A19" s="7" t="s">
        <v>101</v>
      </c>
      <c r="B19" s="8"/>
      <c r="C19" s="10" t="s">
        <v>36</v>
      </c>
      <c r="D19" s="87">
        <v>0</v>
      </c>
      <c r="E19" s="87"/>
      <c r="F19" s="87"/>
    </row>
    <row r="20" spans="1:6" x14ac:dyDescent="0.25">
      <c r="A20" s="7" t="s">
        <v>18</v>
      </c>
      <c r="B20" s="8"/>
      <c r="C20" s="10" t="s">
        <v>100</v>
      </c>
      <c r="D20" s="87">
        <v>25</v>
      </c>
      <c r="E20" s="87"/>
      <c r="F20" s="87"/>
    </row>
    <row r="21" spans="1:6" x14ac:dyDescent="0.25">
      <c r="A21" s="7" t="s">
        <v>7</v>
      </c>
      <c r="B21" s="8"/>
      <c r="C21" s="10" t="s">
        <v>99</v>
      </c>
      <c r="D21" s="87">
        <v>145</v>
      </c>
      <c r="E21" s="87"/>
      <c r="F21" s="87"/>
    </row>
    <row r="22" spans="1:6" x14ac:dyDescent="0.25">
      <c r="A22" s="7" t="s">
        <v>22</v>
      </c>
      <c r="B22" s="8"/>
      <c r="C22" s="10" t="s">
        <v>21</v>
      </c>
      <c r="D22" s="87">
        <v>16</v>
      </c>
      <c r="E22" s="87"/>
      <c r="F22" s="87"/>
    </row>
    <row r="23" spans="1:6" x14ac:dyDescent="0.25">
      <c r="A23" s="7" t="s">
        <v>10</v>
      </c>
      <c r="B23" s="8"/>
      <c r="C23" s="10" t="s">
        <v>98</v>
      </c>
      <c r="D23" s="87">
        <v>19</v>
      </c>
      <c r="E23" s="87"/>
      <c r="F23" s="87"/>
    </row>
    <row r="24" spans="1:6" ht="15.75" thickBot="1" x14ac:dyDescent="0.3">
      <c r="A24" s="11" t="s">
        <v>13</v>
      </c>
      <c r="B24" s="12"/>
      <c r="C24" s="13" t="s">
        <v>97</v>
      </c>
      <c r="D24" s="87">
        <v>65</v>
      </c>
      <c r="E24" s="87"/>
      <c r="F24" s="87"/>
    </row>
    <row r="25" spans="1:6" ht="27.75" customHeight="1" x14ac:dyDescent="0.25">
      <c r="A25" s="116" t="s">
        <v>1108</v>
      </c>
      <c r="B25" s="117"/>
      <c r="C25" s="118"/>
    </row>
    <row r="26" spans="1:6" x14ac:dyDescent="0.25">
      <c r="A26" s="18" t="s">
        <v>96</v>
      </c>
      <c r="B26" s="19" t="s">
        <v>95</v>
      </c>
      <c r="C26" s="20" t="s">
        <v>94</v>
      </c>
    </row>
    <row r="27" spans="1:6" x14ac:dyDescent="0.25">
      <c r="A27" s="7" t="s">
        <v>93</v>
      </c>
      <c r="B27" s="8" t="s">
        <v>68</v>
      </c>
      <c r="C27" s="9" t="s">
        <v>92</v>
      </c>
      <c r="D27" s="87">
        <v>77</v>
      </c>
      <c r="E27" s="87"/>
      <c r="F27" s="87"/>
    </row>
    <row r="28" spans="1:6" x14ac:dyDescent="0.25">
      <c r="A28" s="7" t="s">
        <v>91</v>
      </c>
      <c r="B28" s="8" t="s">
        <v>68</v>
      </c>
      <c r="C28" s="9" t="s">
        <v>90</v>
      </c>
      <c r="D28" s="87">
        <v>1</v>
      </c>
      <c r="E28" s="87"/>
      <c r="F28" s="87"/>
    </row>
    <row r="29" spans="1:6" x14ac:dyDescent="0.25">
      <c r="A29" s="7" t="s">
        <v>89</v>
      </c>
      <c r="B29" s="8" t="s">
        <v>68</v>
      </c>
      <c r="C29" s="9" t="s">
        <v>88</v>
      </c>
      <c r="D29" s="87">
        <v>0</v>
      </c>
      <c r="E29" s="87"/>
      <c r="F29" s="87"/>
    </row>
    <row r="30" spans="1:6" x14ac:dyDescent="0.25">
      <c r="A30" s="7" t="s">
        <v>87</v>
      </c>
      <c r="B30" s="8" t="s">
        <v>71</v>
      </c>
      <c r="C30" s="9" t="s">
        <v>86</v>
      </c>
      <c r="D30" s="87">
        <v>0</v>
      </c>
      <c r="E30" s="87"/>
      <c r="F30" s="87"/>
    </row>
    <row r="31" spans="1:6" x14ac:dyDescent="0.25">
      <c r="A31" s="7" t="s">
        <v>85</v>
      </c>
      <c r="B31" s="8" t="s">
        <v>68</v>
      </c>
      <c r="C31" s="9" t="s">
        <v>84</v>
      </c>
      <c r="D31" s="87">
        <v>0</v>
      </c>
      <c r="E31" s="87"/>
      <c r="F31" s="87"/>
    </row>
    <row r="32" spans="1:6" x14ac:dyDescent="0.25">
      <c r="A32" s="7" t="s">
        <v>83</v>
      </c>
      <c r="B32" s="8" t="s">
        <v>68</v>
      </c>
      <c r="C32" s="9" t="s">
        <v>82</v>
      </c>
      <c r="D32" s="87">
        <v>2</v>
      </c>
      <c r="E32" s="87"/>
      <c r="F32" s="87"/>
    </row>
    <row r="33" spans="1:6" x14ac:dyDescent="0.25">
      <c r="A33" s="7" t="s">
        <v>81</v>
      </c>
      <c r="B33" s="8" t="s">
        <v>68</v>
      </c>
      <c r="C33" s="9" t="s">
        <v>80</v>
      </c>
      <c r="D33" s="87">
        <v>0</v>
      </c>
      <c r="E33" s="87"/>
      <c r="F33" s="87"/>
    </row>
    <row r="34" spans="1:6" x14ac:dyDescent="0.25">
      <c r="A34" s="7" t="s">
        <v>79</v>
      </c>
      <c r="B34" s="8" t="s">
        <v>71</v>
      </c>
      <c r="C34" s="9" t="s">
        <v>78</v>
      </c>
      <c r="D34" s="87">
        <v>0</v>
      </c>
      <c r="E34" s="87"/>
      <c r="F34" s="87"/>
    </row>
    <row r="35" spans="1:6" x14ac:dyDescent="0.25">
      <c r="A35" s="7" t="s">
        <v>77</v>
      </c>
      <c r="B35" s="8" t="s">
        <v>68</v>
      </c>
      <c r="C35" s="9" t="s">
        <v>76</v>
      </c>
      <c r="D35" s="87">
        <v>0</v>
      </c>
      <c r="E35" s="87"/>
      <c r="F35" s="87"/>
    </row>
    <row r="36" spans="1:6" x14ac:dyDescent="0.25">
      <c r="A36" s="7" t="s">
        <v>75</v>
      </c>
      <c r="B36" s="8" t="s">
        <v>68</v>
      </c>
      <c r="C36" s="9" t="s">
        <v>67</v>
      </c>
      <c r="D36" s="87">
        <v>4</v>
      </c>
      <c r="E36" s="87"/>
      <c r="F36" s="87"/>
    </row>
    <row r="37" spans="1:6" x14ac:dyDescent="0.25">
      <c r="A37" s="7" t="s">
        <v>74</v>
      </c>
      <c r="B37" s="8" t="s">
        <v>68</v>
      </c>
      <c r="C37" s="9" t="s">
        <v>73</v>
      </c>
      <c r="D37" s="87">
        <v>6</v>
      </c>
      <c r="E37" s="87"/>
      <c r="F37" s="87"/>
    </row>
    <row r="38" spans="1:6" x14ac:dyDescent="0.25">
      <c r="A38" s="7" t="s">
        <v>72</v>
      </c>
      <c r="B38" s="8" t="s">
        <v>71</v>
      </c>
      <c r="C38" s="9" t="s">
        <v>70</v>
      </c>
      <c r="D38" s="87">
        <v>1</v>
      </c>
      <c r="E38" s="87"/>
      <c r="F38" s="87"/>
    </row>
    <row r="39" spans="1:6" x14ac:dyDescent="0.25">
      <c r="A39" s="7" t="s">
        <v>69</v>
      </c>
      <c r="B39" s="8" t="s">
        <v>68</v>
      </c>
      <c r="C39" s="9" t="s">
        <v>67</v>
      </c>
      <c r="D39" s="87">
        <v>1</v>
      </c>
      <c r="E39" s="87"/>
      <c r="F39" s="87"/>
    </row>
    <row r="40" spans="1:6" x14ac:dyDescent="0.25">
      <c r="A40" s="7" t="s">
        <v>66</v>
      </c>
      <c r="B40" s="8" t="s">
        <v>2</v>
      </c>
      <c r="C40" s="9" t="s">
        <v>65</v>
      </c>
      <c r="D40" s="87">
        <v>13</v>
      </c>
      <c r="E40" s="87"/>
      <c r="F40" s="87"/>
    </row>
    <row r="41" spans="1:6" x14ac:dyDescent="0.25">
      <c r="A41" s="7" t="s">
        <v>64</v>
      </c>
      <c r="B41" s="8" t="s">
        <v>2</v>
      </c>
      <c r="C41" s="9" t="s">
        <v>63</v>
      </c>
      <c r="D41" s="87">
        <v>2</v>
      </c>
      <c r="E41" s="87"/>
      <c r="F41" s="87"/>
    </row>
    <row r="42" spans="1:6" x14ac:dyDescent="0.25">
      <c r="A42" s="7" t="s">
        <v>62</v>
      </c>
      <c r="B42" s="8" t="s">
        <v>2</v>
      </c>
      <c r="C42" s="9" t="s">
        <v>61</v>
      </c>
      <c r="D42" s="87">
        <v>2</v>
      </c>
      <c r="E42" s="87"/>
      <c r="F42" s="87"/>
    </row>
    <row r="43" spans="1:6" x14ac:dyDescent="0.25">
      <c r="A43" s="7" t="s">
        <v>60</v>
      </c>
      <c r="B43" s="8" t="s">
        <v>59</v>
      </c>
      <c r="C43" s="9" t="s">
        <v>58</v>
      </c>
      <c r="D43" s="87">
        <v>1</v>
      </c>
      <c r="E43" s="87"/>
      <c r="F43" s="87"/>
    </row>
    <row r="44" spans="1:6" x14ac:dyDescent="0.25">
      <c r="A44" s="7" t="s">
        <v>57</v>
      </c>
      <c r="B44" s="8" t="s">
        <v>2</v>
      </c>
      <c r="C44" s="9" t="s">
        <v>56</v>
      </c>
      <c r="D44" s="87">
        <v>10</v>
      </c>
      <c r="E44" s="87"/>
      <c r="F44" s="87"/>
    </row>
    <row r="45" spans="1:6" x14ac:dyDescent="0.25">
      <c r="A45" s="7" t="s">
        <v>55</v>
      </c>
      <c r="B45" s="8" t="s">
        <v>39</v>
      </c>
      <c r="C45" s="9" t="s">
        <v>54</v>
      </c>
      <c r="D45" s="87">
        <v>1</v>
      </c>
      <c r="E45" s="87"/>
      <c r="F45" s="87"/>
    </row>
    <row r="46" spans="1:6" x14ac:dyDescent="0.25">
      <c r="A46" s="7" t="s">
        <v>53</v>
      </c>
      <c r="B46" s="8" t="s">
        <v>39</v>
      </c>
      <c r="C46" s="9" t="s">
        <v>52</v>
      </c>
      <c r="D46" s="87">
        <v>1</v>
      </c>
      <c r="E46" s="87"/>
      <c r="F46" s="87"/>
    </row>
    <row r="47" spans="1:6" x14ac:dyDescent="0.25">
      <c r="A47" s="7" t="s">
        <v>51</v>
      </c>
      <c r="B47" s="8" t="s">
        <v>39</v>
      </c>
      <c r="C47" s="9" t="s">
        <v>50</v>
      </c>
      <c r="D47" s="87">
        <v>0</v>
      </c>
      <c r="E47" s="87"/>
      <c r="F47" s="87"/>
    </row>
    <row r="48" spans="1:6" x14ac:dyDescent="0.25">
      <c r="A48" s="7" t="s">
        <v>49</v>
      </c>
      <c r="B48" s="8" t="s">
        <v>48</v>
      </c>
      <c r="C48" s="9" t="s">
        <v>47</v>
      </c>
      <c r="D48" s="87">
        <v>0</v>
      </c>
      <c r="E48" s="87"/>
      <c r="F48" s="87"/>
    </row>
    <row r="49" spans="1:6" x14ac:dyDescent="0.25">
      <c r="A49" s="7" t="s">
        <v>46</v>
      </c>
      <c r="B49" s="8" t="s">
        <v>45</v>
      </c>
      <c r="C49" s="9" t="s">
        <v>44</v>
      </c>
      <c r="D49" s="87">
        <v>0</v>
      </c>
      <c r="E49" s="87"/>
      <c r="F49" s="87"/>
    </row>
    <row r="50" spans="1:6" x14ac:dyDescent="0.25">
      <c r="A50" s="7" t="s">
        <v>43</v>
      </c>
      <c r="B50" s="8" t="s">
        <v>42</v>
      </c>
      <c r="C50" s="9" t="s">
        <v>41</v>
      </c>
      <c r="D50" s="87">
        <v>0</v>
      </c>
      <c r="E50" s="87"/>
      <c r="F50" s="87"/>
    </row>
    <row r="51" spans="1:6" x14ac:dyDescent="0.25">
      <c r="A51" s="7" t="s">
        <v>40</v>
      </c>
      <c r="B51" s="8" t="s">
        <v>39</v>
      </c>
      <c r="C51" s="9" t="s">
        <v>38</v>
      </c>
      <c r="D51" s="87">
        <v>0</v>
      </c>
      <c r="E51" s="87"/>
      <c r="F51" s="87"/>
    </row>
    <row r="52" spans="1:6" x14ac:dyDescent="0.25">
      <c r="A52" s="7" t="s">
        <v>37</v>
      </c>
      <c r="B52" s="8" t="s">
        <v>13</v>
      </c>
      <c r="C52" s="9" t="s">
        <v>36</v>
      </c>
      <c r="D52" s="87">
        <v>132</v>
      </c>
      <c r="E52" s="87"/>
      <c r="F52" s="87"/>
    </row>
    <row r="53" spans="1:6" x14ac:dyDescent="0.25">
      <c r="A53" s="7" t="s">
        <v>35</v>
      </c>
      <c r="B53" s="8" t="s">
        <v>13</v>
      </c>
      <c r="C53" s="9" t="s">
        <v>34</v>
      </c>
      <c r="D53" s="87">
        <v>3</v>
      </c>
      <c r="E53" s="87"/>
      <c r="F53" s="87"/>
    </row>
    <row r="54" spans="1:6" x14ac:dyDescent="0.25">
      <c r="A54" s="7" t="s">
        <v>33</v>
      </c>
      <c r="B54" s="8" t="s">
        <v>18</v>
      </c>
      <c r="C54" s="9" t="s">
        <v>32</v>
      </c>
      <c r="D54" s="87">
        <v>1</v>
      </c>
      <c r="E54" s="87"/>
      <c r="F54" s="87"/>
    </row>
    <row r="55" spans="1:6" x14ac:dyDescent="0.25">
      <c r="A55" s="7" t="s">
        <v>31</v>
      </c>
      <c r="B55" s="8" t="s">
        <v>13</v>
      </c>
      <c r="C55" s="9" t="s">
        <v>30</v>
      </c>
      <c r="D55" s="87">
        <v>2</v>
      </c>
      <c r="E55" s="87"/>
      <c r="F55" s="87"/>
    </row>
    <row r="56" spans="1:6" x14ac:dyDescent="0.25">
      <c r="A56" s="7" t="s">
        <v>29</v>
      </c>
      <c r="B56" s="8" t="s">
        <v>13</v>
      </c>
      <c r="C56" s="9" t="s">
        <v>28</v>
      </c>
      <c r="D56" s="87">
        <v>2</v>
      </c>
      <c r="E56" s="87"/>
      <c r="F56" s="87"/>
    </row>
    <row r="57" spans="1:6" x14ac:dyDescent="0.25">
      <c r="A57" s="7" t="s">
        <v>27</v>
      </c>
      <c r="B57" s="8" t="s">
        <v>18</v>
      </c>
      <c r="C57" s="9" t="s">
        <v>26</v>
      </c>
      <c r="D57" s="87">
        <v>1</v>
      </c>
      <c r="E57" s="87"/>
      <c r="F57" s="87"/>
    </row>
    <row r="58" spans="1:6" x14ac:dyDescent="0.25">
      <c r="A58" s="7" t="s">
        <v>25</v>
      </c>
      <c r="B58" s="8" t="s">
        <v>13</v>
      </c>
      <c r="C58" s="9" t="s">
        <v>24</v>
      </c>
      <c r="D58" s="87">
        <v>0</v>
      </c>
      <c r="E58" s="87"/>
      <c r="F58" s="87"/>
    </row>
    <row r="59" spans="1:6" x14ac:dyDescent="0.25">
      <c r="A59" s="7" t="s">
        <v>23</v>
      </c>
      <c r="B59" s="8" t="s">
        <v>22</v>
      </c>
      <c r="C59" s="9" t="s">
        <v>21</v>
      </c>
      <c r="D59" s="87">
        <v>0</v>
      </c>
      <c r="E59" s="87"/>
      <c r="F59" s="87"/>
    </row>
    <row r="60" spans="1:6" x14ac:dyDescent="0.25">
      <c r="A60" s="7" t="s">
        <v>20</v>
      </c>
      <c r="B60" s="8" t="s">
        <v>13</v>
      </c>
      <c r="C60" s="9" t="s">
        <v>12</v>
      </c>
      <c r="D60" s="87">
        <v>4</v>
      </c>
      <c r="E60" s="87"/>
      <c r="F60" s="87"/>
    </row>
    <row r="61" spans="1:6" x14ac:dyDescent="0.25">
      <c r="A61" s="7" t="s">
        <v>19</v>
      </c>
      <c r="B61" s="8" t="s">
        <v>18</v>
      </c>
      <c r="C61" s="9" t="s">
        <v>17</v>
      </c>
      <c r="D61" s="87">
        <v>4</v>
      </c>
      <c r="E61" s="87"/>
      <c r="F61" s="87"/>
    </row>
    <row r="62" spans="1:6" x14ac:dyDescent="0.25">
      <c r="A62" s="7" t="s">
        <v>16</v>
      </c>
      <c r="B62" s="8" t="s">
        <v>10</v>
      </c>
      <c r="C62" s="9" t="s">
        <v>15</v>
      </c>
      <c r="D62" s="87">
        <v>4</v>
      </c>
      <c r="E62" s="87"/>
      <c r="F62" s="87"/>
    </row>
    <row r="63" spans="1:6" x14ac:dyDescent="0.25">
      <c r="A63" s="7" t="s">
        <v>14</v>
      </c>
      <c r="B63" s="8" t="s">
        <v>13</v>
      </c>
      <c r="C63" s="9" t="s">
        <v>12</v>
      </c>
      <c r="D63" s="87">
        <v>3</v>
      </c>
      <c r="E63" s="87"/>
      <c r="F63" s="87"/>
    </row>
    <row r="64" spans="1:6" x14ac:dyDescent="0.25">
      <c r="A64" s="7" t="s">
        <v>11</v>
      </c>
      <c r="B64" s="8" t="s">
        <v>10</v>
      </c>
      <c r="C64" s="9" t="s">
        <v>9</v>
      </c>
      <c r="D64" s="87">
        <v>0</v>
      </c>
      <c r="E64" s="87"/>
      <c r="F64" s="87"/>
    </row>
    <row r="65" spans="1:6" x14ac:dyDescent="0.25">
      <c r="A65" s="7" t="s">
        <v>8</v>
      </c>
      <c r="B65" s="8" t="s">
        <v>7</v>
      </c>
      <c r="C65" s="9" t="s">
        <v>6</v>
      </c>
      <c r="D65" s="87">
        <v>1</v>
      </c>
      <c r="E65" s="87"/>
      <c r="F65" s="87"/>
    </row>
    <row r="66" spans="1:6" x14ac:dyDescent="0.25">
      <c r="A66" s="7" t="s">
        <v>5</v>
      </c>
      <c r="B66" s="8" t="s">
        <v>2</v>
      </c>
      <c r="C66" s="9" t="s">
        <v>4</v>
      </c>
      <c r="D66" s="87">
        <v>5</v>
      </c>
      <c r="E66" s="87"/>
      <c r="F66" s="87"/>
    </row>
    <row r="67" spans="1:6" x14ac:dyDescent="0.25">
      <c r="A67" s="7" t="s">
        <v>5</v>
      </c>
      <c r="B67" s="8" t="s">
        <v>2</v>
      </c>
      <c r="C67" s="9" t="s">
        <v>4</v>
      </c>
      <c r="D67" s="87">
        <v>5</v>
      </c>
      <c r="E67" s="87"/>
      <c r="F67" s="87"/>
    </row>
    <row r="68" spans="1:6" ht="15.75" thickBot="1" x14ac:dyDescent="0.3">
      <c r="A68" s="11" t="s">
        <v>3</v>
      </c>
      <c r="B68" s="12" t="s">
        <v>2</v>
      </c>
      <c r="C68" s="14" t="s">
        <v>1</v>
      </c>
      <c r="D68" s="87">
        <v>0</v>
      </c>
      <c r="E68" s="87"/>
      <c r="F68" s="87"/>
    </row>
  </sheetData>
  <mergeCells count="17">
    <mergeCell ref="L8:M9"/>
    <mergeCell ref="N9:O9"/>
    <mergeCell ref="N8:O8"/>
    <mergeCell ref="A25:C25"/>
    <mergeCell ref="A2:C2"/>
    <mergeCell ref="A1:C1"/>
    <mergeCell ref="A5:C5"/>
    <mergeCell ref="A6:B6"/>
    <mergeCell ref="L7:O7"/>
    <mergeCell ref="R7:U7"/>
    <mergeCell ref="R8:S9"/>
    <mergeCell ref="T8:U8"/>
    <mergeCell ref="T9:U9"/>
    <mergeCell ref="X7:AA7"/>
    <mergeCell ref="X8:Y9"/>
    <mergeCell ref="Z8:AA8"/>
    <mergeCell ref="Z9:AA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C796-F922-4664-8A65-E4BA79E26EBA}">
  <dimension ref="A1:AC33"/>
  <sheetViews>
    <sheetView zoomScale="80" zoomScaleNormal="80" workbookViewId="0">
      <selection activeCell="E18" sqref="E18"/>
    </sheetView>
  </sheetViews>
  <sheetFormatPr defaultRowHeight="15" x14ac:dyDescent="0.25"/>
  <cols>
    <col min="3" max="3" width="79.42578125" customWidth="1"/>
  </cols>
  <sheetData>
    <row r="1" spans="1:29" ht="28.5" customHeight="1" thickBot="1" x14ac:dyDescent="0.3">
      <c r="A1" s="138" t="s">
        <v>245</v>
      </c>
      <c r="B1" s="139"/>
      <c r="C1" s="140"/>
      <c r="D1" s="86" t="s">
        <v>1130</v>
      </c>
      <c r="E1" s="86" t="s">
        <v>1128</v>
      </c>
      <c r="F1" s="86" t="s">
        <v>1129</v>
      </c>
      <c r="I1" s="72"/>
      <c r="J1" s="72"/>
      <c r="K1" s="74"/>
      <c r="L1" s="74"/>
      <c r="M1" s="74"/>
    </row>
    <row r="2" spans="1:29" ht="25.5" customHeight="1" x14ac:dyDescent="0.25">
      <c r="A2" s="141" t="s">
        <v>1115</v>
      </c>
      <c r="B2" s="142"/>
      <c r="C2" s="143"/>
      <c r="I2" s="72"/>
      <c r="J2" s="72"/>
      <c r="K2" s="73"/>
      <c r="L2" s="73"/>
      <c r="M2" s="73"/>
    </row>
    <row r="3" spans="1:29" x14ac:dyDescent="0.25">
      <c r="A3" s="21" t="s">
        <v>113</v>
      </c>
      <c r="B3" s="22" t="s">
        <v>95</v>
      </c>
      <c r="C3" s="23" t="s">
        <v>94</v>
      </c>
      <c r="I3" s="72"/>
      <c r="J3" s="72"/>
      <c r="K3" s="73"/>
      <c r="L3" s="73"/>
      <c r="M3" s="73"/>
    </row>
    <row r="4" spans="1:29" ht="15.75" thickBot="1" x14ac:dyDescent="0.3">
      <c r="A4" s="11">
        <v>20002</v>
      </c>
      <c r="B4" s="12">
        <v>1583</v>
      </c>
      <c r="C4" s="14" t="s">
        <v>245</v>
      </c>
      <c r="D4" s="87">
        <v>17</v>
      </c>
      <c r="E4" s="93" t="s">
        <v>1135</v>
      </c>
      <c r="F4" s="88" t="s">
        <v>1131</v>
      </c>
      <c r="I4" s="73"/>
      <c r="J4" s="73"/>
      <c r="K4" s="72"/>
      <c r="L4" s="72"/>
      <c r="M4" s="72"/>
    </row>
    <row r="5" spans="1:29" ht="25.5" customHeight="1" thickBot="1" x14ac:dyDescent="0.3">
      <c r="A5" s="106" t="s">
        <v>1107</v>
      </c>
      <c r="B5" s="107"/>
      <c r="C5" s="108"/>
      <c r="I5" s="73"/>
      <c r="J5" s="73"/>
      <c r="K5" s="72"/>
      <c r="L5" s="72"/>
      <c r="M5" s="72"/>
    </row>
    <row r="6" spans="1:29" ht="15.75" thickBot="1" x14ac:dyDescent="0.3">
      <c r="A6" s="30" t="s">
        <v>95</v>
      </c>
      <c r="B6" s="31"/>
      <c r="C6" s="23" t="s">
        <v>94</v>
      </c>
      <c r="I6" s="73"/>
      <c r="J6" s="73"/>
      <c r="K6" s="72"/>
      <c r="L6" s="72"/>
      <c r="M6" s="72"/>
      <c r="N6" s="109" t="s">
        <v>1130</v>
      </c>
      <c r="O6" s="110"/>
      <c r="P6" s="110"/>
      <c r="Q6" s="111"/>
      <c r="T6" s="109" t="s">
        <v>1144</v>
      </c>
      <c r="U6" s="110"/>
      <c r="V6" s="110"/>
      <c r="W6" s="111"/>
      <c r="Z6" s="109" t="s">
        <v>1150</v>
      </c>
      <c r="AA6" s="110"/>
      <c r="AB6" s="110"/>
      <c r="AC6" s="111"/>
    </row>
    <row r="7" spans="1:29" x14ac:dyDescent="0.25">
      <c r="A7" s="28" t="s">
        <v>246</v>
      </c>
      <c r="B7" s="8"/>
      <c r="C7" s="9" t="s">
        <v>247</v>
      </c>
      <c r="D7" s="87">
        <v>0</v>
      </c>
      <c r="E7" s="87"/>
      <c r="F7" s="87"/>
      <c r="L7" s="73"/>
      <c r="M7" s="75"/>
      <c r="N7" s="99" t="s">
        <v>245</v>
      </c>
      <c r="O7" s="100"/>
      <c r="P7" s="128" t="s">
        <v>1118</v>
      </c>
      <c r="Q7" s="129"/>
      <c r="T7" s="99" t="s">
        <v>245</v>
      </c>
      <c r="U7" s="100"/>
      <c r="V7" s="128" t="s">
        <v>1118</v>
      </c>
      <c r="W7" s="129"/>
      <c r="Z7" s="99" t="s">
        <v>245</v>
      </c>
      <c r="AA7" s="100"/>
      <c r="AB7" s="128" t="s">
        <v>1158</v>
      </c>
      <c r="AC7" s="129"/>
    </row>
    <row r="8" spans="1:29" ht="15.75" thickBot="1" x14ac:dyDescent="0.3">
      <c r="A8" s="28" t="s">
        <v>248</v>
      </c>
      <c r="B8" s="8"/>
      <c r="C8" s="9" t="s">
        <v>249</v>
      </c>
      <c r="D8" s="87">
        <v>85</v>
      </c>
      <c r="E8" s="87"/>
      <c r="F8" s="87"/>
      <c r="N8" s="101"/>
      <c r="O8" s="102"/>
      <c r="P8" s="104">
        <v>2.06E-2</v>
      </c>
      <c r="Q8" s="102"/>
      <c r="T8" s="101"/>
      <c r="U8" s="102"/>
      <c r="V8" s="104">
        <v>2.06E-2</v>
      </c>
      <c r="W8" s="102"/>
      <c r="Z8" s="101"/>
      <c r="AA8" s="102"/>
      <c r="AB8" s="104">
        <v>1.78E-2</v>
      </c>
      <c r="AC8" s="102"/>
    </row>
    <row r="9" spans="1:29" x14ac:dyDescent="0.25">
      <c r="A9" s="28" t="s">
        <v>250</v>
      </c>
      <c r="B9" s="8"/>
      <c r="C9" s="9" t="s">
        <v>251</v>
      </c>
      <c r="D9" s="87">
        <v>22</v>
      </c>
      <c r="E9" s="87"/>
      <c r="F9" s="87"/>
    </row>
    <row r="10" spans="1:29" x14ac:dyDescent="0.25">
      <c r="A10" s="28" t="s">
        <v>252</v>
      </c>
      <c r="B10" s="8"/>
      <c r="C10" s="9" t="s">
        <v>253</v>
      </c>
      <c r="D10" s="87">
        <v>305</v>
      </c>
      <c r="E10" s="87"/>
      <c r="F10" s="87"/>
    </row>
    <row r="11" spans="1:29" x14ac:dyDescent="0.25">
      <c r="A11" s="28" t="s">
        <v>254</v>
      </c>
      <c r="B11" s="8"/>
      <c r="C11" s="9" t="s">
        <v>255</v>
      </c>
      <c r="D11" s="87">
        <v>710</v>
      </c>
      <c r="E11" s="87"/>
      <c r="F11" s="87"/>
    </row>
    <row r="12" spans="1:29" x14ac:dyDescent="0.25">
      <c r="A12" s="28" t="s">
        <v>256</v>
      </c>
      <c r="B12" s="8"/>
      <c r="C12" s="9" t="s">
        <v>257</v>
      </c>
      <c r="D12" s="87">
        <v>444</v>
      </c>
      <c r="E12" s="87"/>
      <c r="F12" s="87"/>
    </row>
    <row r="13" spans="1:29" x14ac:dyDescent="0.25">
      <c r="A13" s="28" t="s">
        <v>258</v>
      </c>
      <c r="B13" s="8"/>
      <c r="C13" s="9" t="s">
        <v>259</v>
      </c>
      <c r="D13" s="87">
        <v>1937</v>
      </c>
      <c r="E13" s="87"/>
      <c r="F13" s="87"/>
    </row>
    <row r="14" spans="1:29" x14ac:dyDescent="0.25">
      <c r="A14" s="28" t="s">
        <v>260</v>
      </c>
      <c r="B14" s="8"/>
      <c r="C14" s="9" t="s">
        <v>261</v>
      </c>
      <c r="D14" s="87">
        <v>13</v>
      </c>
      <c r="E14" s="87"/>
      <c r="F14" s="87"/>
    </row>
    <row r="15" spans="1:29" x14ac:dyDescent="0.25">
      <c r="A15" s="28" t="s">
        <v>262</v>
      </c>
      <c r="B15" s="8"/>
      <c r="C15" s="9" t="s">
        <v>263</v>
      </c>
      <c r="D15" s="87">
        <v>603</v>
      </c>
      <c r="E15" s="87"/>
      <c r="F15" s="87"/>
    </row>
    <row r="16" spans="1:29" ht="15.75" thickBot="1" x14ac:dyDescent="0.3">
      <c r="A16" s="29" t="s">
        <v>264</v>
      </c>
      <c r="B16" s="12"/>
      <c r="C16" s="14" t="s">
        <v>265</v>
      </c>
      <c r="D16" s="87">
        <v>5794</v>
      </c>
      <c r="E16" s="87"/>
      <c r="F16" s="87"/>
    </row>
    <row r="17" spans="1:6" ht="24.75" customHeight="1" x14ac:dyDescent="0.25">
      <c r="A17" s="106" t="s">
        <v>1108</v>
      </c>
      <c r="B17" s="107"/>
      <c r="C17" s="108"/>
    </row>
    <row r="18" spans="1:6" x14ac:dyDescent="0.25">
      <c r="A18" s="18" t="s">
        <v>96</v>
      </c>
      <c r="B18" s="19" t="s">
        <v>95</v>
      </c>
      <c r="C18" s="20" t="s">
        <v>94</v>
      </c>
    </row>
    <row r="19" spans="1:6" x14ac:dyDescent="0.25">
      <c r="A19" s="7" t="s">
        <v>266</v>
      </c>
      <c r="B19" s="8" t="s">
        <v>248</v>
      </c>
      <c r="C19" s="9" t="s">
        <v>267</v>
      </c>
      <c r="D19" s="87">
        <v>12</v>
      </c>
      <c r="E19" s="87"/>
      <c r="F19" s="87"/>
    </row>
    <row r="20" spans="1:6" x14ac:dyDescent="0.25">
      <c r="A20" s="7" t="s">
        <v>268</v>
      </c>
      <c r="B20" s="8" t="s">
        <v>250</v>
      </c>
      <c r="C20" s="9" t="s">
        <v>269</v>
      </c>
      <c r="D20" s="87">
        <v>4</v>
      </c>
      <c r="E20" s="87"/>
      <c r="F20" s="87"/>
    </row>
    <row r="21" spans="1:6" x14ac:dyDescent="0.25">
      <c r="A21" s="7" t="s">
        <v>270</v>
      </c>
      <c r="B21" s="8" t="s">
        <v>254</v>
      </c>
      <c r="C21" s="9" t="s">
        <v>271</v>
      </c>
      <c r="D21" s="87">
        <v>13</v>
      </c>
      <c r="E21" s="87"/>
      <c r="F21" s="87"/>
    </row>
    <row r="22" spans="1:6" x14ac:dyDescent="0.25">
      <c r="A22" s="7" t="s">
        <v>272</v>
      </c>
      <c r="B22" s="8" t="s">
        <v>256</v>
      </c>
      <c r="C22" s="9" t="s">
        <v>273</v>
      </c>
      <c r="D22" s="87">
        <v>8</v>
      </c>
      <c r="E22" s="87"/>
      <c r="F22" s="87"/>
    </row>
    <row r="23" spans="1:6" x14ac:dyDescent="0.25">
      <c r="A23" s="7" t="s">
        <v>274</v>
      </c>
      <c r="B23" s="8" t="s">
        <v>264</v>
      </c>
      <c r="C23" s="9" t="s">
        <v>275</v>
      </c>
      <c r="D23" s="87">
        <v>235</v>
      </c>
      <c r="E23" s="87"/>
      <c r="F23" s="87"/>
    </row>
    <row r="24" spans="1:6" x14ac:dyDescent="0.25">
      <c r="A24" s="7" t="s">
        <v>276</v>
      </c>
      <c r="B24" s="8" t="s">
        <v>264</v>
      </c>
      <c r="C24" s="9" t="s">
        <v>277</v>
      </c>
      <c r="D24" s="87">
        <v>7</v>
      </c>
      <c r="E24" s="87"/>
      <c r="F24" s="87"/>
    </row>
    <row r="25" spans="1:6" x14ac:dyDescent="0.25">
      <c r="A25" s="7" t="s">
        <v>278</v>
      </c>
      <c r="B25" s="8" t="s">
        <v>264</v>
      </c>
      <c r="C25" s="9" t="s">
        <v>279</v>
      </c>
      <c r="D25" s="87">
        <v>17</v>
      </c>
      <c r="E25" s="87"/>
      <c r="F25" s="87"/>
    </row>
    <row r="26" spans="1:6" x14ac:dyDescent="0.25">
      <c r="A26" s="7" t="s">
        <v>280</v>
      </c>
      <c r="B26" s="8" t="s">
        <v>264</v>
      </c>
      <c r="C26" s="9" t="s">
        <v>281</v>
      </c>
      <c r="D26" s="87">
        <v>26</v>
      </c>
      <c r="E26" s="87"/>
      <c r="F26" s="87"/>
    </row>
    <row r="27" spans="1:6" x14ac:dyDescent="0.25">
      <c r="A27" s="7" t="s">
        <v>282</v>
      </c>
      <c r="B27" s="8" t="s">
        <v>264</v>
      </c>
      <c r="C27" s="9" t="s">
        <v>283</v>
      </c>
      <c r="D27" s="87">
        <v>11</v>
      </c>
      <c r="E27" s="87"/>
      <c r="F27" s="87"/>
    </row>
    <row r="28" spans="1:6" x14ac:dyDescent="0.25">
      <c r="A28" s="7" t="s">
        <v>284</v>
      </c>
      <c r="B28" s="8" t="s">
        <v>260</v>
      </c>
      <c r="C28" s="9" t="s">
        <v>285</v>
      </c>
      <c r="D28" s="87">
        <v>6</v>
      </c>
      <c r="E28" s="87"/>
      <c r="F28" s="87"/>
    </row>
    <row r="29" spans="1:6" x14ac:dyDescent="0.25">
      <c r="A29" s="7" t="s">
        <v>286</v>
      </c>
      <c r="B29" s="8" t="s">
        <v>252</v>
      </c>
      <c r="C29" s="9" t="s">
        <v>287</v>
      </c>
      <c r="D29" s="87">
        <v>3</v>
      </c>
      <c r="E29" s="87"/>
      <c r="F29" s="87"/>
    </row>
    <row r="30" spans="1:6" x14ac:dyDescent="0.25">
      <c r="A30" s="7" t="s">
        <v>288</v>
      </c>
      <c r="B30" s="8" t="s">
        <v>258</v>
      </c>
      <c r="C30" s="9" t="s">
        <v>289</v>
      </c>
      <c r="D30" s="87">
        <v>7</v>
      </c>
      <c r="E30" s="87"/>
      <c r="F30" s="87"/>
    </row>
    <row r="31" spans="1:6" x14ac:dyDescent="0.25">
      <c r="A31" s="7" t="s">
        <v>290</v>
      </c>
      <c r="B31" s="8" t="s">
        <v>258</v>
      </c>
      <c r="C31" s="9" t="s">
        <v>291</v>
      </c>
      <c r="D31" s="87">
        <v>4</v>
      </c>
      <c r="E31" s="87"/>
      <c r="F31" s="87"/>
    </row>
    <row r="32" spans="1:6" x14ac:dyDescent="0.25">
      <c r="A32" s="7" t="s">
        <v>292</v>
      </c>
      <c r="B32" s="8" t="s">
        <v>262</v>
      </c>
      <c r="C32" s="9" t="s">
        <v>293</v>
      </c>
      <c r="D32" s="87">
        <v>13</v>
      </c>
      <c r="E32" s="87"/>
      <c r="F32" s="87"/>
    </row>
    <row r="33" spans="1:6" ht="15.75" thickBot="1" x14ac:dyDescent="0.3">
      <c r="A33" s="11" t="s">
        <v>294</v>
      </c>
      <c r="B33" s="12" t="s">
        <v>252</v>
      </c>
      <c r="C33" s="14" t="s">
        <v>295</v>
      </c>
      <c r="D33" s="87">
        <v>2</v>
      </c>
      <c r="E33" s="87"/>
      <c r="F33" s="87"/>
    </row>
  </sheetData>
  <mergeCells count="16">
    <mergeCell ref="A17:C17"/>
    <mergeCell ref="N7:O8"/>
    <mergeCell ref="P7:Q7"/>
    <mergeCell ref="P8:Q8"/>
    <mergeCell ref="A1:C1"/>
    <mergeCell ref="A2:C2"/>
    <mergeCell ref="A5:C5"/>
    <mergeCell ref="N6:Q6"/>
    <mergeCell ref="T6:W6"/>
    <mergeCell ref="T7:U8"/>
    <mergeCell ref="V7:W7"/>
    <mergeCell ref="V8:W8"/>
    <mergeCell ref="Z6:AC6"/>
    <mergeCell ref="Z7:AA8"/>
    <mergeCell ref="AB7:AC7"/>
    <mergeCell ref="AB8:A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B2F6-565F-45BC-9085-547A1F6D04C4}">
  <dimension ref="A1:AA82"/>
  <sheetViews>
    <sheetView zoomScale="60" zoomScaleNormal="60" workbookViewId="0">
      <selection activeCell="G36" sqref="G36"/>
    </sheetView>
  </sheetViews>
  <sheetFormatPr defaultRowHeight="15" x14ac:dyDescent="0.25"/>
  <cols>
    <col min="3" max="3" width="108.42578125" customWidth="1"/>
    <col min="6" max="6" width="8" customWidth="1"/>
    <col min="8" max="8" width="12.28515625" customWidth="1"/>
  </cols>
  <sheetData>
    <row r="1" spans="1:27" ht="30.75" customHeight="1" thickBot="1" x14ac:dyDescent="0.3">
      <c r="A1" s="122" t="s">
        <v>1116</v>
      </c>
      <c r="B1" s="123"/>
      <c r="C1" s="124"/>
      <c r="D1" s="86" t="s">
        <v>1130</v>
      </c>
      <c r="E1" s="86" t="s">
        <v>1128</v>
      </c>
      <c r="F1" s="86" t="s">
        <v>1129</v>
      </c>
      <c r="G1" s="65"/>
      <c r="H1" s="65"/>
      <c r="I1" s="65"/>
      <c r="J1" s="65"/>
      <c r="K1" s="65"/>
      <c r="L1" s="65"/>
      <c r="M1" s="65"/>
    </row>
    <row r="2" spans="1:27" ht="25.5" customHeight="1" x14ac:dyDescent="0.25">
      <c r="A2" s="106" t="s">
        <v>1111</v>
      </c>
      <c r="B2" s="107"/>
      <c r="C2" s="108"/>
      <c r="F2" s="65"/>
      <c r="G2" s="72"/>
      <c r="H2" s="72"/>
      <c r="I2" s="82"/>
      <c r="J2" s="82"/>
      <c r="K2" s="82"/>
      <c r="L2" s="82"/>
      <c r="M2" s="82"/>
    </row>
    <row r="3" spans="1:27" x14ac:dyDescent="0.25">
      <c r="A3" s="21" t="s">
        <v>113</v>
      </c>
      <c r="B3" s="22" t="s">
        <v>95</v>
      </c>
      <c r="C3" s="23" t="s">
        <v>94</v>
      </c>
      <c r="F3" s="65"/>
      <c r="G3" s="72"/>
      <c r="H3" s="72"/>
      <c r="I3" s="152"/>
      <c r="J3" s="152"/>
      <c r="K3" s="152"/>
      <c r="L3" s="72"/>
      <c r="M3" s="72"/>
    </row>
    <row r="4" spans="1:27" x14ac:dyDescent="0.25">
      <c r="A4" s="7">
        <v>3894</v>
      </c>
      <c r="B4" s="8"/>
      <c r="C4" s="9" t="s">
        <v>114</v>
      </c>
      <c r="D4" s="87">
        <v>11195</v>
      </c>
      <c r="E4" s="87"/>
      <c r="F4" s="90" t="s">
        <v>1132</v>
      </c>
      <c r="G4" s="72"/>
      <c r="H4" s="72"/>
      <c r="I4" s="72"/>
      <c r="J4" s="72"/>
      <c r="K4" s="72"/>
      <c r="L4" s="72"/>
      <c r="M4" s="72"/>
    </row>
    <row r="5" spans="1:27" ht="27.75" customHeight="1" x14ac:dyDescent="0.25">
      <c r="A5" s="147" t="s">
        <v>1112</v>
      </c>
      <c r="B5" s="148"/>
      <c r="C5" s="149"/>
      <c r="F5" s="65"/>
      <c r="G5" s="77"/>
      <c r="H5" s="72"/>
      <c r="I5" s="78"/>
      <c r="J5" s="73"/>
      <c r="K5" s="73"/>
      <c r="L5" s="73"/>
      <c r="M5" s="73"/>
    </row>
    <row r="6" spans="1:27" x14ac:dyDescent="0.25">
      <c r="A6" s="21" t="s">
        <v>113</v>
      </c>
      <c r="B6" s="22" t="s">
        <v>95</v>
      </c>
      <c r="C6" s="23" t="s">
        <v>94</v>
      </c>
      <c r="F6" s="65"/>
      <c r="G6" s="77"/>
      <c r="H6" s="72"/>
      <c r="I6" s="73"/>
      <c r="J6" s="78"/>
      <c r="K6" s="73"/>
      <c r="L6" s="73"/>
      <c r="M6" s="73"/>
    </row>
    <row r="7" spans="1:27" ht="15.75" thickBot="1" x14ac:dyDescent="0.3">
      <c r="A7" s="11">
        <v>20002</v>
      </c>
      <c r="B7" s="12">
        <v>1075</v>
      </c>
      <c r="C7" s="14" t="s">
        <v>115</v>
      </c>
      <c r="D7" s="87">
        <v>11502</v>
      </c>
      <c r="E7" s="93" t="s">
        <v>1135</v>
      </c>
      <c r="F7" s="90" t="s">
        <v>1132</v>
      </c>
      <c r="G7" s="77"/>
      <c r="H7" s="80"/>
      <c r="I7" s="65"/>
      <c r="J7" s="65"/>
      <c r="K7" s="79"/>
      <c r="L7" s="65"/>
      <c r="M7" s="79"/>
    </row>
    <row r="8" spans="1:27" ht="28.5" customHeight="1" x14ac:dyDescent="0.25">
      <c r="A8" s="116" t="s">
        <v>1107</v>
      </c>
      <c r="B8" s="117"/>
      <c r="C8" s="118"/>
      <c r="F8" s="65"/>
      <c r="G8" s="72"/>
      <c r="H8" s="72"/>
      <c r="I8" s="73"/>
      <c r="J8" s="73"/>
      <c r="K8" s="73"/>
      <c r="L8" s="78"/>
      <c r="M8" s="73"/>
    </row>
    <row r="9" spans="1:27" x14ac:dyDescent="0.25">
      <c r="A9" s="150" t="s">
        <v>95</v>
      </c>
      <c r="B9" s="151"/>
      <c r="C9" s="27" t="s">
        <v>94</v>
      </c>
      <c r="F9" s="65"/>
      <c r="G9" s="72"/>
      <c r="H9" s="72"/>
      <c r="I9" s="73"/>
      <c r="J9" s="73"/>
      <c r="K9" s="78"/>
      <c r="L9" s="73"/>
      <c r="M9" s="73"/>
    </row>
    <row r="10" spans="1:27" x14ac:dyDescent="0.25">
      <c r="A10" s="7" t="s">
        <v>116</v>
      </c>
      <c r="B10" s="8"/>
      <c r="C10" s="10" t="s">
        <v>117</v>
      </c>
      <c r="D10" s="87">
        <v>0</v>
      </c>
      <c r="E10" s="87"/>
      <c r="F10" s="87"/>
      <c r="G10" s="72"/>
      <c r="H10" s="72"/>
      <c r="I10" s="73"/>
      <c r="J10" s="73"/>
      <c r="K10" s="78"/>
      <c r="L10" s="78"/>
      <c r="M10" s="81"/>
    </row>
    <row r="11" spans="1:27" ht="15.75" thickBot="1" x14ac:dyDescent="0.3">
      <c r="A11" s="7" t="s">
        <v>118</v>
      </c>
      <c r="B11" s="8"/>
      <c r="C11" s="10" t="s">
        <v>119</v>
      </c>
      <c r="D11" s="87">
        <v>2953</v>
      </c>
      <c r="E11" s="87"/>
      <c r="F11" s="87"/>
      <c r="G11" s="65"/>
      <c r="H11" s="65"/>
      <c r="I11" s="65"/>
      <c r="J11" s="65"/>
      <c r="K11" s="65"/>
      <c r="L11" s="65"/>
      <c r="M11" s="65"/>
    </row>
    <row r="12" spans="1:27" ht="15.75" thickBot="1" x14ac:dyDescent="0.3">
      <c r="A12" s="7" t="s">
        <v>120</v>
      </c>
      <c r="B12" s="8"/>
      <c r="C12" s="10" t="s">
        <v>121</v>
      </c>
      <c r="D12" s="87">
        <v>3588</v>
      </c>
      <c r="E12" s="87"/>
      <c r="F12" s="87"/>
      <c r="G12" s="65"/>
      <c r="H12" s="65"/>
      <c r="I12" s="65"/>
      <c r="J12" s="65"/>
      <c r="K12" s="65"/>
      <c r="L12" s="144" t="s">
        <v>1130</v>
      </c>
      <c r="M12" s="145"/>
      <c r="N12" s="145"/>
      <c r="O12" s="146"/>
      <c r="R12" s="144" t="s">
        <v>1144</v>
      </c>
      <c r="S12" s="145"/>
      <c r="T12" s="145"/>
      <c r="U12" s="146"/>
      <c r="X12" s="144" t="s">
        <v>1145</v>
      </c>
      <c r="Y12" s="145"/>
      <c r="Z12" s="145"/>
      <c r="AA12" s="146"/>
    </row>
    <row r="13" spans="1:27" x14ac:dyDescent="0.25">
      <c r="A13" s="7" t="s">
        <v>122</v>
      </c>
      <c r="B13" s="8"/>
      <c r="C13" s="10" t="s">
        <v>123</v>
      </c>
      <c r="D13" s="87">
        <v>479</v>
      </c>
      <c r="E13" s="87"/>
      <c r="F13" s="87"/>
      <c r="L13" s="99" t="s">
        <v>1116</v>
      </c>
      <c r="M13" s="100"/>
      <c r="N13" s="128" t="s">
        <v>1119</v>
      </c>
      <c r="O13" s="129"/>
      <c r="R13" s="99" t="s">
        <v>1116</v>
      </c>
      <c r="S13" s="100"/>
      <c r="T13" s="128" t="s">
        <v>1148</v>
      </c>
      <c r="U13" s="129"/>
      <c r="X13" s="99" t="s">
        <v>1116</v>
      </c>
      <c r="Y13" s="100"/>
      <c r="Z13" s="128" t="s">
        <v>1159</v>
      </c>
      <c r="AA13" s="129"/>
    </row>
    <row r="14" spans="1:27" ht="15.75" thickBot="1" x14ac:dyDescent="0.3">
      <c r="A14" s="7" t="s">
        <v>124</v>
      </c>
      <c r="B14" s="8"/>
      <c r="C14" s="10" t="s">
        <v>125</v>
      </c>
      <c r="D14" s="87">
        <v>343</v>
      </c>
      <c r="E14" s="87"/>
      <c r="F14" s="87"/>
      <c r="L14" s="101"/>
      <c r="M14" s="102"/>
      <c r="N14" s="104" t="s">
        <v>1120</v>
      </c>
      <c r="O14" s="102"/>
      <c r="R14" s="101"/>
      <c r="S14" s="102"/>
      <c r="T14" s="104" t="s">
        <v>1149</v>
      </c>
      <c r="U14" s="102"/>
      <c r="X14" s="101"/>
      <c r="Y14" s="102"/>
      <c r="Z14" s="104" t="s">
        <v>1160</v>
      </c>
      <c r="AA14" s="102"/>
    </row>
    <row r="15" spans="1:27" x14ac:dyDescent="0.25">
      <c r="A15" s="7" t="s">
        <v>126</v>
      </c>
      <c r="B15" s="8"/>
      <c r="C15" s="10" t="s">
        <v>127</v>
      </c>
      <c r="D15" s="87">
        <v>5261</v>
      </c>
      <c r="E15" s="87"/>
      <c r="F15" s="87"/>
    </row>
    <row r="16" spans="1:27" x14ac:dyDescent="0.25">
      <c r="A16" s="7" t="s">
        <v>128</v>
      </c>
      <c r="B16" s="8"/>
      <c r="C16" s="10" t="s">
        <v>129</v>
      </c>
      <c r="D16" s="87">
        <v>5461</v>
      </c>
      <c r="E16" s="87"/>
      <c r="F16" s="87"/>
    </row>
    <row r="17" spans="1:8" x14ac:dyDescent="0.25">
      <c r="A17" s="7" t="s">
        <v>130</v>
      </c>
      <c r="B17" s="8"/>
      <c r="C17" s="10" t="s">
        <v>131</v>
      </c>
      <c r="D17" s="87">
        <v>0</v>
      </c>
      <c r="E17" s="87"/>
      <c r="F17" s="87"/>
    </row>
    <row r="18" spans="1:8" x14ac:dyDescent="0.25">
      <c r="A18" s="7" t="s">
        <v>132</v>
      </c>
      <c r="B18" s="8"/>
      <c r="C18" s="10" t="s">
        <v>133</v>
      </c>
      <c r="D18" s="87">
        <v>123</v>
      </c>
      <c r="E18" s="87"/>
      <c r="F18" s="87"/>
    </row>
    <row r="19" spans="1:8" x14ac:dyDescent="0.25">
      <c r="A19" s="7" t="s">
        <v>134</v>
      </c>
      <c r="B19" s="8"/>
      <c r="C19" s="10" t="s">
        <v>135</v>
      </c>
      <c r="D19" s="87">
        <v>216</v>
      </c>
      <c r="E19" s="87"/>
      <c r="F19" s="87"/>
    </row>
    <row r="20" spans="1:8" x14ac:dyDescent="0.25">
      <c r="A20" s="7" t="s">
        <v>136</v>
      </c>
      <c r="B20" s="8"/>
      <c r="C20" s="10" t="s">
        <v>137</v>
      </c>
      <c r="D20" s="87">
        <v>94</v>
      </c>
      <c r="E20" s="87"/>
      <c r="F20" s="87"/>
    </row>
    <row r="21" spans="1:8" x14ac:dyDescent="0.25">
      <c r="A21" s="7" t="s">
        <v>138</v>
      </c>
      <c r="B21" s="8"/>
      <c r="C21" s="10" t="s">
        <v>139</v>
      </c>
      <c r="D21" s="87">
        <v>583</v>
      </c>
      <c r="E21" s="87"/>
      <c r="F21" s="87"/>
    </row>
    <row r="22" spans="1:8" x14ac:dyDescent="0.25">
      <c r="A22" s="7" t="s">
        <v>140</v>
      </c>
      <c r="B22" s="8"/>
      <c r="C22" s="10" t="s">
        <v>141</v>
      </c>
      <c r="D22" s="87">
        <v>0</v>
      </c>
      <c r="E22" s="87"/>
      <c r="F22" s="87"/>
      <c r="G22" t="s">
        <v>1138</v>
      </c>
      <c r="H22">
        <f>5429+306+638+5217</f>
        <v>11590</v>
      </c>
    </row>
    <row r="23" spans="1:8" x14ac:dyDescent="0.25">
      <c r="A23" s="7" t="s">
        <v>142</v>
      </c>
      <c r="B23" s="8"/>
      <c r="C23" s="10" t="s">
        <v>143</v>
      </c>
      <c r="D23" s="87">
        <v>1</v>
      </c>
      <c r="E23" s="87"/>
      <c r="F23" s="87"/>
      <c r="G23" t="s">
        <v>1139</v>
      </c>
      <c r="H23">
        <f>10275+5217+638+509</f>
        <v>16639</v>
      </c>
    </row>
    <row r="24" spans="1:8" x14ac:dyDescent="0.25">
      <c r="A24" s="7" t="s">
        <v>144</v>
      </c>
      <c r="B24" s="8"/>
      <c r="C24" s="10" t="s">
        <v>145</v>
      </c>
      <c r="D24" s="87">
        <v>4</v>
      </c>
      <c r="E24" s="87"/>
      <c r="F24" s="87"/>
      <c r="G24" t="s">
        <v>1140</v>
      </c>
      <c r="H24">
        <f>124+306+638+509</f>
        <v>1577</v>
      </c>
    </row>
    <row r="25" spans="1:8" x14ac:dyDescent="0.25">
      <c r="A25" s="7" t="s">
        <v>146</v>
      </c>
      <c r="B25" s="8"/>
      <c r="C25" s="10" t="s">
        <v>147</v>
      </c>
      <c r="D25" s="87">
        <v>13</v>
      </c>
      <c r="E25" s="87"/>
      <c r="F25" s="87"/>
    </row>
    <row r="26" spans="1:8" x14ac:dyDescent="0.25">
      <c r="A26" s="7" t="s">
        <v>148</v>
      </c>
      <c r="B26" s="8"/>
      <c r="C26" s="10" t="s">
        <v>149</v>
      </c>
      <c r="D26" s="87">
        <v>1</v>
      </c>
      <c r="E26" s="87"/>
      <c r="F26" s="87"/>
    </row>
    <row r="27" spans="1:8" x14ac:dyDescent="0.25">
      <c r="A27" s="7" t="s">
        <v>150</v>
      </c>
      <c r="B27" s="8"/>
      <c r="C27" s="10" t="s">
        <v>151</v>
      </c>
      <c r="D27" s="87">
        <v>0</v>
      </c>
      <c r="E27" s="87"/>
      <c r="F27" s="87"/>
    </row>
    <row r="28" spans="1:8" x14ac:dyDescent="0.25">
      <c r="A28" s="7" t="s">
        <v>152</v>
      </c>
      <c r="B28" s="8"/>
      <c r="C28" s="10" t="s">
        <v>153</v>
      </c>
      <c r="D28" s="87">
        <v>3</v>
      </c>
      <c r="E28" s="87"/>
      <c r="F28" s="87"/>
    </row>
    <row r="29" spans="1:8" x14ac:dyDescent="0.25">
      <c r="A29" s="7" t="s">
        <v>154</v>
      </c>
      <c r="B29" s="8"/>
      <c r="C29" s="10" t="s">
        <v>155</v>
      </c>
      <c r="D29" s="87">
        <v>16</v>
      </c>
      <c r="E29" s="87"/>
      <c r="F29" s="87"/>
    </row>
    <row r="30" spans="1:8" ht="15.75" thickBot="1" x14ac:dyDescent="0.3">
      <c r="A30" s="11" t="s">
        <v>156</v>
      </c>
      <c r="B30" s="12"/>
      <c r="C30" s="13" t="s">
        <v>157</v>
      </c>
      <c r="D30" s="87">
        <v>55</v>
      </c>
      <c r="E30" s="87"/>
      <c r="F30" s="87"/>
    </row>
    <row r="31" spans="1:8" ht="25.5" customHeight="1" x14ac:dyDescent="0.25">
      <c r="A31" s="116" t="s">
        <v>1108</v>
      </c>
      <c r="B31" s="117"/>
      <c r="C31" s="118"/>
    </row>
    <row r="32" spans="1:8" x14ac:dyDescent="0.25">
      <c r="A32" s="24" t="s">
        <v>96</v>
      </c>
      <c r="B32" s="25" t="s">
        <v>95</v>
      </c>
      <c r="C32" s="26" t="s">
        <v>94</v>
      </c>
    </row>
    <row r="33" spans="1:6" x14ac:dyDescent="0.25">
      <c r="A33" s="7" t="s">
        <v>158</v>
      </c>
      <c r="B33" s="8" t="s">
        <v>118</v>
      </c>
      <c r="C33" s="9" t="s">
        <v>159</v>
      </c>
      <c r="D33" s="87">
        <v>82</v>
      </c>
      <c r="E33" s="87"/>
      <c r="F33" s="87"/>
    </row>
    <row r="34" spans="1:6" x14ac:dyDescent="0.25">
      <c r="A34" s="7" t="s">
        <v>160</v>
      </c>
      <c r="B34" s="8" t="s">
        <v>118</v>
      </c>
      <c r="C34" s="9" t="s">
        <v>161</v>
      </c>
      <c r="D34" s="87">
        <v>27</v>
      </c>
      <c r="E34" s="87"/>
      <c r="F34" s="87"/>
    </row>
    <row r="35" spans="1:6" x14ac:dyDescent="0.25">
      <c r="A35" s="7" t="s">
        <v>162</v>
      </c>
      <c r="B35" s="8" t="s">
        <v>118</v>
      </c>
      <c r="C35" s="9" t="s">
        <v>163</v>
      </c>
      <c r="D35" s="87">
        <v>2</v>
      </c>
      <c r="E35" s="87"/>
      <c r="F35" s="87"/>
    </row>
    <row r="36" spans="1:6" x14ac:dyDescent="0.25">
      <c r="A36" s="7" t="s">
        <v>164</v>
      </c>
      <c r="B36" s="8" t="s">
        <v>118</v>
      </c>
      <c r="C36" s="9" t="s">
        <v>165</v>
      </c>
      <c r="D36" s="87">
        <v>27</v>
      </c>
      <c r="E36" s="87"/>
      <c r="F36" s="87"/>
    </row>
    <row r="37" spans="1:6" x14ac:dyDescent="0.25">
      <c r="A37" s="7" t="s">
        <v>166</v>
      </c>
      <c r="B37" s="8" t="s">
        <v>118</v>
      </c>
      <c r="C37" s="9" t="s">
        <v>167</v>
      </c>
      <c r="D37" s="87">
        <v>176</v>
      </c>
      <c r="E37" s="87"/>
      <c r="F37" s="87"/>
    </row>
    <row r="38" spans="1:6" x14ac:dyDescent="0.25">
      <c r="A38" s="7" t="s">
        <v>168</v>
      </c>
      <c r="B38" s="8" t="s">
        <v>120</v>
      </c>
      <c r="C38" s="9" t="s">
        <v>169</v>
      </c>
      <c r="D38" s="87">
        <v>77</v>
      </c>
      <c r="E38" s="87"/>
      <c r="F38" s="87"/>
    </row>
    <row r="39" spans="1:6" x14ac:dyDescent="0.25">
      <c r="A39" s="7" t="s">
        <v>170</v>
      </c>
      <c r="B39" s="8" t="s">
        <v>120</v>
      </c>
      <c r="C39" s="9" t="s">
        <v>171</v>
      </c>
      <c r="D39" s="87">
        <v>19</v>
      </c>
      <c r="E39" s="87"/>
      <c r="F39" s="87"/>
    </row>
    <row r="40" spans="1:6" x14ac:dyDescent="0.25">
      <c r="A40" s="7" t="s">
        <v>172</v>
      </c>
      <c r="B40" s="8" t="s">
        <v>122</v>
      </c>
      <c r="C40" s="9" t="s">
        <v>173</v>
      </c>
      <c r="D40" s="87">
        <v>27</v>
      </c>
      <c r="E40" s="87"/>
      <c r="F40" s="87"/>
    </row>
    <row r="41" spans="1:6" x14ac:dyDescent="0.25">
      <c r="A41" s="7" t="s">
        <v>174</v>
      </c>
      <c r="B41" s="8" t="s">
        <v>122</v>
      </c>
      <c r="C41" s="9" t="s">
        <v>175</v>
      </c>
      <c r="D41" s="87">
        <v>17</v>
      </c>
      <c r="E41" s="87"/>
      <c r="F41" s="87"/>
    </row>
    <row r="42" spans="1:6" x14ac:dyDescent="0.25">
      <c r="A42" s="7" t="s">
        <v>176</v>
      </c>
      <c r="B42" s="8" t="s">
        <v>122</v>
      </c>
      <c r="C42" s="9" t="s">
        <v>177</v>
      </c>
      <c r="D42" s="87">
        <v>3</v>
      </c>
      <c r="E42" s="87"/>
      <c r="F42" s="87"/>
    </row>
    <row r="43" spans="1:6" x14ac:dyDescent="0.25">
      <c r="A43" s="7" t="s">
        <v>178</v>
      </c>
      <c r="B43" s="8" t="s">
        <v>126</v>
      </c>
      <c r="C43" s="9" t="s">
        <v>179</v>
      </c>
      <c r="D43" s="87">
        <v>42</v>
      </c>
      <c r="E43" s="87"/>
      <c r="F43" s="87"/>
    </row>
    <row r="44" spans="1:6" x14ac:dyDescent="0.25">
      <c r="A44" s="7" t="s">
        <v>180</v>
      </c>
      <c r="B44" s="8" t="s">
        <v>126</v>
      </c>
      <c r="C44" s="9" t="s">
        <v>181</v>
      </c>
      <c r="D44" s="87">
        <v>5</v>
      </c>
      <c r="E44" s="87"/>
      <c r="F44" s="87"/>
    </row>
    <row r="45" spans="1:6" x14ac:dyDescent="0.25">
      <c r="A45" s="7" t="s">
        <v>182</v>
      </c>
      <c r="B45" s="8" t="s">
        <v>126</v>
      </c>
      <c r="C45" s="9" t="s">
        <v>183</v>
      </c>
      <c r="D45" s="87">
        <v>498</v>
      </c>
      <c r="E45" s="87"/>
      <c r="F45" s="87"/>
    </row>
    <row r="46" spans="1:6" x14ac:dyDescent="0.25">
      <c r="A46" s="7" t="s">
        <v>184</v>
      </c>
      <c r="B46" s="8" t="s">
        <v>120</v>
      </c>
      <c r="C46" s="9" t="s">
        <v>185</v>
      </c>
      <c r="D46" s="87">
        <v>428</v>
      </c>
      <c r="E46" s="87"/>
      <c r="F46" s="87"/>
    </row>
    <row r="47" spans="1:6" x14ac:dyDescent="0.25">
      <c r="A47" s="7" t="s">
        <v>186</v>
      </c>
      <c r="B47" s="8" t="s">
        <v>124</v>
      </c>
      <c r="C47" s="9" t="s">
        <v>187</v>
      </c>
      <c r="D47" s="87">
        <v>3</v>
      </c>
      <c r="E47" s="87"/>
      <c r="F47" s="87"/>
    </row>
    <row r="48" spans="1:6" x14ac:dyDescent="0.25">
      <c r="A48" s="7" t="s">
        <v>188</v>
      </c>
      <c r="B48" s="8" t="s">
        <v>128</v>
      </c>
      <c r="C48" s="9" t="s">
        <v>189</v>
      </c>
      <c r="D48" s="87">
        <v>4</v>
      </c>
      <c r="E48" s="87"/>
      <c r="F48" s="87"/>
    </row>
    <row r="49" spans="1:6" x14ac:dyDescent="0.25">
      <c r="A49" s="7" t="s">
        <v>190</v>
      </c>
      <c r="B49" s="8" t="s">
        <v>122</v>
      </c>
      <c r="C49" s="9" t="s">
        <v>191</v>
      </c>
      <c r="D49" s="87">
        <v>0</v>
      </c>
      <c r="E49" s="87"/>
      <c r="F49" s="87"/>
    </row>
    <row r="50" spans="1:6" x14ac:dyDescent="0.25">
      <c r="A50" s="7" t="s">
        <v>192</v>
      </c>
      <c r="B50" s="8" t="s">
        <v>124</v>
      </c>
      <c r="C50" s="9" t="s">
        <v>125</v>
      </c>
      <c r="D50" s="87">
        <v>1</v>
      </c>
      <c r="E50" s="87"/>
      <c r="F50" s="87"/>
    </row>
    <row r="51" spans="1:6" x14ac:dyDescent="0.25">
      <c r="A51" s="7" t="s">
        <v>193</v>
      </c>
      <c r="B51" s="8" t="s">
        <v>128</v>
      </c>
      <c r="C51" s="9" t="s">
        <v>194</v>
      </c>
      <c r="D51" s="87">
        <v>197</v>
      </c>
      <c r="E51" s="87"/>
      <c r="F51" s="87"/>
    </row>
    <row r="52" spans="1:6" x14ac:dyDescent="0.25">
      <c r="A52" s="7" t="s">
        <v>195</v>
      </c>
      <c r="B52" s="8" t="s">
        <v>128</v>
      </c>
      <c r="C52" s="9" t="s">
        <v>196</v>
      </c>
      <c r="D52" s="87">
        <v>8</v>
      </c>
      <c r="E52" s="87"/>
      <c r="F52" s="87"/>
    </row>
    <row r="53" spans="1:6" x14ac:dyDescent="0.25">
      <c r="A53" s="7" t="s">
        <v>197</v>
      </c>
      <c r="B53" s="8" t="s">
        <v>128</v>
      </c>
      <c r="C53" s="9" t="s">
        <v>198</v>
      </c>
      <c r="D53" s="87">
        <v>1</v>
      </c>
      <c r="E53" s="87"/>
      <c r="F53" s="87"/>
    </row>
    <row r="54" spans="1:6" x14ac:dyDescent="0.25">
      <c r="A54" s="7" t="s">
        <v>199</v>
      </c>
      <c r="B54" s="8" t="s">
        <v>126</v>
      </c>
      <c r="C54" s="9" t="s">
        <v>200</v>
      </c>
      <c r="D54" s="87">
        <v>0</v>
      </c>
      <c r="E54" s="87"/>
      <c r="F54" s="87"/>
    </row>
    <row r="55" spans="1:6" x14ac:dyDescent="0.25">
      <c r="A55" s="7" t="s">
        <v>201</v>
      </c>
      <c r="B55" s="8" t="s">
        <v>122</v>
      </c>
      <c r="C55" s="9" t="s">
        <v>202</v>
      </c>
      <c r="D55" s="87">
        <v>1</v>
      </c>
      <c r="E55" s="87"/>
      <c r="F55" s="87"/>
    </row>
    <row r="56" spans="1:6" x14ac:dyDescent="0.25">
      <c r="A56" s="7" t="s">
        <v>203</v>
      </c>
      <c r="B56" s="8" t="s">
        <v>120</v>
      </c>
      <c r="C56" s="9" t="s">
        <v>204</v>
      </c>
      <c r="D56" s="87">
        <v>11</v>
      </c>
      <c r="E56" s="87"/>
      <c r="F56" s="87"/>
    </row>
    <row r="57" spans="1:6" x14ac:dyDescent="0.25">
      <c r="A57" s="7" t="s">
        <v>205</v>
      </c>
      <c r="B57" s="8" t="s">
        <v>128</v>
      </c>
      <c r="C57" s="9" t="s">
        <v>206</v>
      </c>
      <c r="D57" s="87">
        <v>583</v>
      </c>
      <c r="E57" s="87"/>
      <c r="F57" s="87"/>
    </row>
    <row r="58" spans="1:6" x14ac:dyDescent="0.25">
      <c r="A58" s="7" t="s">
        <v>207</v>
      </c>
      <c r="B58" s="8" t="s">
        <v>130</v>
      </c>
      <c r="C58" s="9" t="s">
        <v>131</v>
      </c>
      <c r="D58" s="87">
        <v>8</v>
      </c>
      <c r="E58" s="87"/>
      <c r="F58" s="87"/>
    </row>
    <row r="59" spans="1:6" x14ac:dyDescent="0.25">
      <c r="A59" s="7" t="s">
        <v>208</v>
      </c>
      <c r="B59" s="8" t="s">
        <v>132</v>
      </c>
      <c r="C59" s="9" t="s">
        <v>133</v>
      </c>
      <c r="D59" s="87">
        <v>0</v>
      </c>
      <c r="E59" s="87"/>
      <c r="F59" s="87"/>
    </row>
    <row r="60" spans="1:6" x14ac:dyDescent="0.25">
      <c r="A60" s="7" t="s">
        <v>209</v>
      </c>
      <c r="B60" s="8" t="s">
        <v>134</v>
      </c>
      <c r="C60" s="9" t="s">
        <v>135</v>
      </c>
      <c r="D60" s="87">
        <v>1</v>
      </c>
      <c r="E60" s="87"/>
      <c r="F60" s="87"/>
    </row>
    <row r="61" spans="1:6" x14ac:dyDescent="0.25">
      <c r="A61" s="7" t="s">
        <v>210</v>
      </c>
      <c r="B61" s="8" t="s">
        <v>136</v>
      </c>
      <c r="C61" s="9" t="s">
        <v>137</v>
      </c>
      <c r="D61" s="87">
        <v>0</v>
      </c>
      <c r="E61" s="87"/>
      <c r="F61" s="87"/>
    </row>
    <row r="62" spans="1:6" x14ac:dyDescent="0.25">
      <c r="A62" s="7" t="s">
        <v>211</v>
      </c>
      <c r="B62" s="8" t="s">
        <v>138</v>
      </c>
      <c r="C62" s="9" t="s">
        <v>139</v>
      </c>
      <c r="D62" s="87">
        <v>0</v>
      </c>
      <c r="E62" s="87"/>
      <c r="F62" s="87"/>
    </row>
    <row r="63" spans="1:6" x14ac:dyDescent="0.25">
      <c r="A63" s="7" t="s">
        <v>212</v>
      </c>
      <c r="B63" s="8" t="s">
        <v>140</v>
      </c>
      <c r="C63" s="9" t="s">
        <v>141</v>
      </c>
      <c r="D63" s="87">
        <v>0</v>
      </c>
      <c r="E63" s="87"/>
      <c r="F63" s="87"/>
    </row>
    <row r="64" spans="1:6" x14ac:dyDescent="0.25">
      <c r="A64" s="7" t="s">
        <v>213</v>
      </c>
      <c r="B64" s="8" t="s">
        <v>142</v>
      </c>
      <c r="C64" s="9" t="s">
        <v>143</v>
      </c>
      <c r="D64" s="87">
        <v>0</v>
      </c>
      <c r="E64" s="87"/>
      <c r="F64" s="87"/>
    </row>
    <row r="65" spans="1:6" x14ac:dyDescent="0.25">
      <c r="A65" s="7" t="s">
        <v>214</v>
      </c>
      <c r="B65" s="8" t="s">
        <v>144</v>
      </c>
      <c r="C65" s="9" t="s">
        <v>145</v>
      </c>
      <c r="D65" s="87">
        <v>0</v>
      </c>
      <c r="E65" s="87"/>
      <c r="F65" s="87"/>
    </row>
    <row r="66" spans="1:6" x14ac:dyDescent="0.25">
      <c r="A66" s="7" t="s">
        <v>215</v>
      </c>
      <c r="B66" s="8" t="s">
        <v>146</v>
      </c>
      <c r="C66" s="9" t="s">
        <v>147</v>
      </c>
      <c r="D66" s="87">
        <v>0</v>
      </c>
      <c r="E66" s="87"/>
      <c r="F66" s="87"/>
    </row>
    <row r="67" spans="1:6" x14ac:dyDescent="0.25">
      <c r="A67" s="7" t="s">
        <v>216</v>
      </c>
      <c r="B67" s="8" t="s">
        <v>148</v>
      </c>
      <c r="C67" s="9" t="s">
        <v>149</v>
      </c>
      <c r="D67" s="87">
        <v>0</v>
      </c>
      <c r="E67" s="87"/>
      <c r="F67" s="87"/>
    </row>
    <row r="68" spans="1:6" x14ac:dyDescent="0.25">
      <c r="A68" s="7" t="s">
        <v>217</v>
      </c>
      <c r="B68" s="8" t="s">
        <v>150</v>
      </c>
      <c r="C68" s="9" t="s">
        <v>218</v>
      </c>
      <c r="D68" s="87">
        <v>0</v>
      </c>
      <c r="E68" s="87"/>
      <c r="F68" s="87"/>
    </row>
    <row r="69" spans="1:6" x14ac:dyDescent="0.25">
      <c r="A69" s="7" t="s">
        <v>219</v>
      </c>
      <c r="B69" s="8" t="s">
        <v>152</v>
      </c>
      <c r="C69" s="9" t="s">
        <v>153</v>
      </c>
      <c r="D69" s="87">
        <v>0</v>
      </c>
      <c r="E69" s="87"/>
      <c r="F69" s="87"/>
    </row>
    <row r="70" spans="1:6" x14ac:dyDescent="0.25">
      <c r="A70" s="7" t="s">
        <v>220</v>
      </c>
      <c r="B70" s="8" t="s">
        <v>154</v>
      </c>
      <c r="C70" s="9" t="s">
        <v>155</v>
      </c>
      <c r="D70" s="87">
        <v>1</v>
      </c>
      <c r="E70" s="87"/>
      <c r="F70" s="87"/>
    </row>
    <row r="71" spans="1:6" x14ac:dyDescent="0.25">
      <c r="A71" s="7" t="s">
        <v>221</v>
      </c>
      <c r="B71" s="8" t="s">
        <v>116</v>
      </c>
      <c r="C71" s="9" t="s">
        <v>222</v>
      </c>
      <c r="D71" s="87">
        <v>3</v>
      </c>
      <c r="E71" s="87"/>
      <c r="F71" s="87"/>
    </row>
    <row r="72" spans="1:6" x14ac:dyDescent="0.25">
      <c r="A72" s="7" t="s">
        <v>223</v>
      </c>
      <c r="B72" s="8" t="s">
        <v>118</v>
      </c>
      <c r="C72" s="9" t="s">
        <v>224</v>
      </c>
      <c r="D72" s="87">
        <v>0</v>
      </c>
      <c r="E72" s="87"/>
      <c r="F72" s="87"/>
    </row>
    <row r="73" spans="1:6" x14ac:dyDescent="0.25">
      <c r="A73" s="7" t="s">
        <v>225</v>
      </c>
      <c r="B73" s="8" t="s">
        <v>120</v>
      </c>
      <c r="C73" s="9" t="s">
        <v>226</v>
      </c>
      <c r="D73" s="87">
        <v>0</v>
      </c>
      <c r="E73" s="87"/>
      <c r="F73" s="87"/>
    </row>
    <row r="74" spans="1:6" x14ac:dyDescent="0.25">
      <c r="A74" s="7" t="s">
        <v>227</v>
      </c>
      <c r="B74" s="8" t="s">
        <v>122</v>
      </c>
      <c r="C74" s="9" t="s">
        <v>228</v>
      </c>
      <c r="D74" s="87">
        <v>0</v>
      </c>
      <c r="E74" s="87"/>
      <c r="F74" s="87"/>
    </row>
    <row r="75" spans="1:6" x14ac:dyDescent="0.25">
      <c r="A75" s="7" t="s">
        <v>229</v>
      </c>
      <c r="B75" s="8" t="s">
        <v>124</v>
      </c>
      <c r="C75" s="9" t="s">
        <v>230</v>
      </c>
      <c r="D75" s="87">
        <v>0</v>
      </c>
      <c r="E75" s="87"/>
      <c r="F75" s="87"/>
    </row>
    <row r="76" spans="1:6" x14ac:dyDescent="0.25">
      <c r="A76" s="7" t="s">
        <v>231</v>
      </c>
      <c r="B76" s="8" t="s">
        <v>126</v>
      </c>
      <c r="C76" s="9" t="s">
        <v>232</v>
      </c>
      <c r="D76" s="87">
        <v>2</v>
      </c>
      <c r="E76" s="87"/>
      <c r="F76" s="87"/>
    </row>
    <row r="77" spans="1:6" x14ac:dyDescent="0.25">
      <c r="A77" s="7" t="s">
        <v>233</v>
      </c>
      <c r="B77" s="8" t="s">
        <v>128</v>
      </c>
      <c r="C77" s="9" t="s">
        <v>234</v>
      </c>
      <c r="D77" s="87">
        <v>0</v>
      </c>
      <c r="E77" s="87"/>
      <c r="F77" s="87"/>
    </row>
    <row r="78" spans="1:6" x14ac:dyDescent="0.25">
      <c r="A78" s="7" t="s">
        <v>235</v>
      </c>
      <c r="B78" s="8" t="s">
        <v>156</v>
      </c>
      <c r="C78" s="9" t="s">
        <v>236</v>
      </c>
      <c r="D78" s="87">
        <v>0</v>
      </c>
      <c r="E78" s="87"/>
      <c r="F78" s="87"/>
    </row>
    <row r="79" spans="1:6" x14ac:dyDescent="0.25">
      <c r="A79" s="7" t="s">
        <v>237</v>
      </c>
      <c r="B79" s="8" t="s">
        <v>156</v>
      </c>
      <c r="C79" s="9" t="s">
        <v>238</v>
      </c>
      <c r="D79" s="87">
        <v>0</v>
      </c>
      <c r="E79" s="87"/>
      <c r="F79" s="87"/>
    </row>
    <row r="80" spans="1:6" x14ac:dyDescent="0.25">
      <c r="A80" s="7" t="s">
        <v>239</v>
      </c>
      <c r="B80" s="8" t="s">
        <v>124</v>
      </c>
      <c r="C80" s="9" t="s">
        <v>240</v>
      </c>
      <c r="D80" s="87">
        <v>2</v>
      </c>
      <c r="E80" s="87"/>
      <c r="F80" s="87"/>
    </row>
    <row r="81" spans="1:6" x14ac:dyDescent="0.25">
      <c r="A81" s="7" t="s">
        <v>241</v>
      </c>
      <c r="B81" s="8" t="s">
        <v>136</v>
      </c>
      <c r="C81" s="9" t="s">
        <v>242</v>
      </c>
      <c r="D81" s="87">
        <v>0</v>
      </c>
      <c r="E81" s="87"/>
      <c r="F81" s="87"/>
    </row>
    <row r="82" spans="1:6" ht="15.75" thickBot="1" x14ac:dyDescent="0.3">
      <c r="A82" s="11" t="s">
        <v>243</v>
      </c>
      <c r="B82" s="12" t="s">
        <v>138</v>
      </c>
      <c r="C82" s="14" t="s">
        <v>244</v>
      </c>
      <c r="D82" s="87">
        <v>0</v>
      </c>
      <c r="E82" s="87"/>
      <c r="F82" s="87"/>
    </row>
  </sheetData>
  <mergeCells count="19">
    <mergeCell ref="I3:K3"/>
    <mergeCell ref="A31:C31"/>
    <mergeCell ref="L13:M14"/>
    <mergeCell ref="N13:O13"/>
    <mergeCell ref="N14:O14"/>
    <mergeCell ref="L12:O12"/>
    <mergeCell ref="A1:C1"/>
    <mergeCell ref="A2:C2"/>
    <mergeCell ref="A5:C5"/>
    <mergeCell ref="A8:C8"/>
    <mergeCell ref="A9:B9"/>
    <mergeCell ref="R12:U12"/>
    <mergeCell ref="R13:S14"/>
    <mergeCell ref="T13:U13"/>
    <mergeCell ref="T14:U14"/>
    <mergeCell ref="X12:AA12"/>
    <mergeCell ref="X13:Y14"/>
    <mergeCell ref="Z13:AA13"/>
    <mergeCell ref="Z14:AA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9F79-357D-46C4-ADF8-63FAF8E66FAE}">
  <dimension ref="A1:AB194"/>
  <sheetViews>
    <sheetView tabSelected="1" zoomScale="90" zoomScaleNormal="90" workbookViewId="0">
      <selection activeCell="D41" sqref="D41"/>
    </sheetView>
  </sheetViews>
  <sheetFormatPr defaultRowHeight="15" x14ac:dyDescent="0.25"/>
  <cols>
    <col min="3" max="3" width="55.140625" customWidth="1"/>
    <col min="4" max="4" width="56.5703125" customWidth="1"/>
  </cols>
  <sheetData>
    <row r="1" spans="1:28" ht="30" customHeight="1" thickBot="1" x14ac:dyDescent="0.3">
      <c r="A1" s="122" t="s">
        <v>1121</v>
      </c>
      <c r="B1" s="123"/>
      <c r="C1" s="124"/>
      <c r="D1" s="8"/>
      <c r="E1" s="86" t="s">
        <v>1130</v>
      </c>
      <c r="F1" s="86" t="s">
        <v>1128</v>
      </c>
      <c r="G1" s="86" t="s">
        <v>1129</v>
      </c>
    </row>
    <row r="2" spans="1:28" ht="27" customHeight="1" x14ac:dyDescent="0.25">
      <c r="A2" s="125" t="s">
        <v>1111</v>
      </c>
      <c r="B2" s="126"/>
      <c r="C2" s="127"/>
      <c r="D2" s="8"/>
    </row>
    <row r="3" spans="1:28" x14ac:dyDescent="0.25">
      <c r="A3" s="21" t="s">
        <v>113</v>
      </c>
      <c r="B3" s="22" t="s">
        <v>95</v>
      </c>
      <c r="C3" s="23" t="s">
        <v>94</v>
      </c>
      <c r="D3" s="8"/>
      <c r="F3" s="95" t="s">
        <v>1127</v>
      </c>
    </row>
    <row r="4" spans="1:28" x14ac:dyDescent="0.25">
      <c r="A4" s="7">
        <v>2443</v>
      </c>
      <c r="B4" s="8"/>
      <c r="C4" s="9" t="s">
        <v>296</v>
      </c>
      <c r="E4" s="87">
        <v>23311</v>
      </c>
      <c r="F4" s="87"/>
      <c r="G4" s="88" t="s">
        <v>1132</v>
      </c>
    </row>
    <row r="5" spans="1:28" ht="26.25" customHeight="1" x14ac:dyDescent="0.25">
      <c r="A5" s="125" t="s">
        <v>1122</v>
      </c>
      <c r="B5" s="126"/>
      <c r="C5" s="127"/>
      <c r="D5" s="8"/>
      <c r="F5" t="s">
        <v>1135</v>
      </c>
    </row>
    <row r="6" spans="1:28" ht="15.75" thickBot="1" x14ac:dyDescent="0.3">
      <c r="A6" s="21" t="s">
        <v>113</v>
      </c>
      <c r="B6" s="22" t="s">
        <v>95</v>
      </c>
      <c r="C6" s="23" t="s">
        <v>94</v>
      </c>
      <c r="D6" s="8"/>
      <c r="E6" s="87">
        <v>3180</v>
      </c>
      <c r="F6" s="93"/>
      <c r="G6" s="88" t="s">
        <v>1132</v>
      </c>
    </row>
    <row r="7" spans="1:28" ht="15.75" thickBot="1" x14ac:dyDescent="0.3">
      <c r="A7" s="7">
        <v>20002</v>
      </c>
      <c r="B7" s="32">
        <v>1223</v>
      </c>
      <c r="C7" s="9" t="s">
        <v>297</v>
      </c>
      <c r="M7" s="109" t="s">
        <v>1130</v>
      </c>
      <c r="N7" s="110"/>
      <c r="O7" s="110"/>
      <c r="P7" s="111"/>
      <c r="S7" s="109" t="s">
        <v>1144</v>
      </c>
      <c r="T7" s="110"/>
      <c r="U7" s="110"/>
      <c r="V7" s="111"/>
      <c r="Y7" s="109" t="s">
        <v>1145</v>
      </c>
      <c r="Z7" s="110"/>
      <c r="AA7" s="110"/>
      <c r="AB7" s="111"/>
    </row>
    <row r="8" spans="1:28" x14ac:dyDescent="0.25">
      <c r="A8" s="125" t="s">
        <v>1123</v>
      </c>
      <c r="B8" s="126"/>
      <c r="C8" s="127"/>
      <c r="D8" s="8"/>
      <c r="M8" s="99" t="s">
        <v>1133</v>
      </c>
      <c r="N8" s="100"/>
      <c r="O8" s="128" t="s">
        <v>1142</v>
      </c>
      <c r="P8" s="129"/>
      <c r="S8" s="99" t="s">
        <v>1133</v>
      </c>
      <c r="T8" s="100"/>
      <c r="U8" s="128" t="s">
        <v>1146</v>
      </c>
      <c r="V8" s="129"/>
      <c r="Y8" s="99" t="s">
        <v>1133</v>
      </c>
      <c r="Z8" s="100"/>
      <c r="AA8" s="128" t="s">
        <v>1161</v>
      </c>
      <c r="AB8" s="129"/>
    </row>
    <row r="9" spans="1:28" ht="15.75" thickBot="1" x14ac:dyDescent="0.3">
      <c r="A9" s="21" t="s">
        <v>113</v>
      </c>
      <c r="B9" s="22" t="s">
        <v>95</v>
      </c>
      <c r="C9" s="23" t="s">
        <v>94</v>
      </c>
      <c r="D9" s="8"/>
      <c r="E9" s="154">
        <v>6443</v>
      </c>
      <c r="F9" s="119" t="s">
        <v>1141</v>
      </c>
      <c r="G9" s="119"/>
      <c r="M9" s="101"/>
      <c r="N9" s="102"/>
      <c r="O9" s="104" t="s">
        <v>1143</v>
      </c>
      <c r="P9" s="102"/>
      <c r="S9" s="101"/>
      <c r="T9" s="102"/>
      <c r="U9" s="104" t="s">
        <v>1147</v>
      </c>
      <c r="V9" s="102"/>
      <c r="Y9" s="101"/>
      <c r="Z9" s="102"/>
      <c r="AA9" s="104" t="s">
        <v>1162</v>
      </c>
      <c r="AB9" s="102"/>
    </row>
    <row r="10" spans="1:28" x14ac:dyDescent="0.25">
      <c r="A10" s="33">
        <v>20003</v>
      </c>
      <c r="B10" s="32">
        <v>1140874646</v>
      </c>
      <c r="C10" s="34" t="s">
        <v>298</v>
      </c>
      <c r="E10" s="154"/>
      <c r="F10" s="119"/>
      <c r="G10" s="119"/>
    </row>
    <row r="11" spans="1:28" x14ac:dyDescent="0.25">
      <c r="A11" s="33">
        <v>20003</v>
      </c>
      <c r="B11" s="32">
        <v>1140874664</v>
      </c>
      <c r="C11" s="34" t="s">
        <v>299</v>
      </c>
      <c r="E11" s="154"/>
      <c r="F11" s="119"/>
      <c r="G11" s="119"/>
    </row>
    <row r="12" spans="1:28" x14ac:dyDescent="0.25">
      <c r="A12" s="33">
        <v>20003</v>
      </c>
      <c r="B12" s="32">
        <v>1140874674</v>
      </c>
      <c r="C12" s="34" t="s">
        <v>300</v>
      </c>
      <c r="E12" s="154"/>
      <c r="F12" s="119"/>
      <c r="G12" s="119"/>
    </row>
    <row r="13" spans="1:28" x14ac:dyDescent="0.25">
      <c r="A13" s="33">
        <v>20003</v>
      </c>
      <c r="B13" s="32">
        <v>1140874686</v>
      </c>
      <c r="C13" s="34" t="s">
        <v>301</v>
      </c>
      <c r="E13" s="154"/>
      <c r="F13" s="119"/>
      <c r="G13" s="119"/>
    </row>
    <row r="14" spans="1:28" x14ac:dyDescent="0.25">
      <c r="A14" s="33">
        <v>20003</v>
      </c>
      <c r="B14" s="32">
        <v>1140874706</v>
      </c>
      <c r="C14" s="34" t="s">
        <v>302</v>
      </c>
      <c r="E14" s="154"/>
      <c r="F14" s="119"/>
      <c r="G14" s="119"/>
    </row>
    <row r="15" spans="1:28" x14ac:dyDescent="0.25">
      <c r="A15" s="33">
        <v>20003</v>
      </c>
      <c r="B15" s="32">
        <v>1140874718</v>
      </c>
      <c r="C15" s="34" t="s">
        <v>303</v>
      </c>
      <c r="E15" s="154"/>
      <c r="F15" s="119"/>
      <c r="G15" s="119"/>
    </row>
    <row r="16" spans="1:28" x14ac:dyDescent="0.25">
      <c r="A16" s="33">
        <v>20003</v>
      </c>
      <c r="B16" s="32">
        <v>1140874744</v>
      </c>
      <c r="C16" s="34" t="s">
        <v>304</v>
      </c>
      <c r="E16" s="154"/>
      <c r="F16" s="119"/>
      <c r="G16" s="119"/>
    </row>
    <row r="17" spans="1:7" x14ac:dyDescent="0.25">
      <c r="A17" s="33">
        <v>20003</v>
      </c>
      <c r="B17" s="32">
        <v>1141189090</v>
      </c>
      <c r="C17" s="34" t="s">
        <v>305</v>
      </c>
      <c r="E17" s="154"/>
      <c r="F17" s="119"/>
      <c r="G17" s="119"/>
    </row>
    <row r="18" spans="1:7" x14ac:dyDescent="0.25">
      <c r="A18" s="33">
        <v>20003</v>
      </c>
      <c r="B18" s="32">
        <v>1141171646</v>
      </c>
      <c r="C18" s="34" t="s">
        <v>306</v>
      </c>
      <c r="E18" s="154"/>
      <c r="F18" s="119"/>
      <c r="G18" s="119"/>
    </row>
    <row r="19" spans="1:7" x14ac:dyDescent="0.25">
      <c r="A19" s="33">
        <v>20003</v>
      </c>
      <c r="B19" s="32">
        <v>1140868902</v>
      </c>
      <c r="C19" s="34" t="s">
        <v>307</v>
      </c>
      <c r="E19" s="154"/>
      <c r="F19" s="119"/>
      <c r="G19" s="119"/>
    </row>
    <row r="20" spans="1:7" x14ac:dyDescent="0.25">
      <c r="A20" s="33">
        <v>20003</v>
      </c>
      <c r="B20" s="32">
        <v>1141168660</v>
      </c>
      <c r="C20" s="34" t="s">
        <v>308</v>
      </c>
      <c r="E20" s="154"/>
      <c r="F20" s="119"/>
      <c r="G20" s="119"/>
    </row>
    <row r="21" spans="1:7" x14ac:dyDescent="0.25">
      <c r="A21" s="33">
        <v>20003</v>
      </c>
      <c r="B21" s="32">
        <v>1141152590</v>
      </c>
      <c r="C21" s="34" t="s">
        <v>309</v>
      </c>
      <c r="E21" s="154"/>
      <c r="F21" s="119"/>
      <c r="G21" s="119"/>
    </row>
    <row r="22" spans="1:7" x14ac:dyDescent="0.25">
      <c r="A22" s="33">
        <v>20003</v>
      </c>
      <c r="B22" s="32">
        <v>1140874650</v>
      </c>
      <c r="C22" s="35" t="s">
        <v>310</v>
      </c>
      <c r="E22" s="154"/>
      <c r="F22" s="119"/>
      <c r="G22" s="119"/>
    </row>
    <row r="23" spans="1:7" x14ac:dyDescent="0.25">
      <c r="A23" s="33">
        <v>20003</v>
      </c>
      <c r="B23" s="32">
        <v>1140874652</v>
      </c>
      <c r="C23" s="34" t="s">
        <v>311</v>
      </c>
      <c r="E23" s="154"/>
      <c r="F23" s="119"/>
      <c r="G23" s="119"/>
    </row>
    <row r="24" spans="1:7" x14ac:dyDescent="0.25">
      <c r="A24" s="33">
        <v>20003</v>
      </c>
      <c r="B24" s="32">
        <v>1140874658</v>
      </c>
      <c r="C24" s="34" t="s">
        <v>312</v>
      </c>
      <c r="E24" s="154"/>
      <c r="F24" s="119"/>
      <c r="G24" s="119"/>
    </row>
    <row r="25" spans="1:7" x14ac:dyDescent="0.25">
      <c r="A25" s="33">
        <v>20003</v>
      </c>
      <c r="B25" s="32">
        <v>1140874660</v>
      </c>
      <c r="C25" s="34" t="s">
        <v>313</v>
      </c>
      <c r="E25" s="154"/>
      <c r="F25" s="119"/>
      <c r="G25" s="119"/>
    </row>
    <row r="26" spans="1:7" x14ac:dyDescent="0.25">
      <c r="A26" s="33">
        <v>20003</v>
      </c>
      <c r="B26" s="32">
        <v>1140874666</v>
      </c>
      <c r="C26" s="34" t="s">
        <v>314</v>
      </c>
      <c r="E26" s="154"/>
      <c r="F26" s="119"/>
      <c r="G26" s="119"/>
    </row>
    <row r="27" spans="1:7" x14ac:dyDescent="0.25">
      <c r="A27" s="33">
        <v>20003</v>
      </c>
      <c r="B27" s="32">
        <v>1140874678</v>
      </c>
      <c r="C27" s="34" t="s">
        <v>315</v>
      </c>
      <c r="E27" s="154"/>
      <c r="F27" s="119"/>
      <c r="G27" s="119"/>
    </row>
    <row r="28" spans="1:7" x14ac:dyDescent="0.25">
      <c r="A28" s="33">
        <v>20003</v>
      </c>
      <c r="B28" s="32">
        <v>1140874680</v>
      </c>
      <c r="C28" s="34" t="s">
        <v>316</v>
      </c>
      <c r="E28" s="154"/>
      <c r="F28" s="119"/>
      <c r="G28" s="119"/>
    </row>
    <row r="29" spans="1:7" x14ac:dyDescent="0.25">
      <c r="A29" s="33">
        <v>20003</v>
      </c>
      <c r="B29" s="32">
        <v>1140874690</v>
      </c>
      <c r="C29" s="34" t="s">
        <v>317</v>
      </c>
      <c r="E29" s="154"/>
      <c r="F29" s="119"/>
      <c r="G29" s="119"/>
    </row>
    <row r="30" spans="1:7" x14ac:dyDescent="0.25">
      <c r="A30" s="33">
        <v>20003</v>
      </c>
      <c r="B30" s="32">
        <v>1140874712</v>
      </c>
      <c r="C30" s="34" t="s">
        <v>318</v>
      </c>
      <c r="E30" s="154"/>
      <c r="F30" s="119"/>
      <c r="G30" s="119"/>
    </row>
    <row r="31" spans="1:7" x14ac:dyDescent="0.25">
      <c r="A31" s="33">
        <v>20003</v>
      </c>
      <c r="B31" s="32">
        <v>1140874716</v>
      </c>
      <c r="C31" s="34" t="s">
        <v>319</v>
      </c>
      <c r="E31" s="154"/>
      <c r="F31" s="119"/>
      <c r="G31" s="119"/>
    </row>
    <row r="32" spans="1:7" x14ac:dyDescent="0.25">
      <c r="A32" s="33">
        <v>20003</v>
      </c>
      <c r="B32" s="32">
        <v>1140874724</v>
      </c>
      <c r="C32" s="34" t="s">
        <v>320</v>
      </c>
      <c r="E32" s="154"/>
      <c r="F32" s="119"/>
      <c r="G32" s="119"/>
    </row>
    <row r="33" spans="1:7" x14ac:dyDescent="0.25">
      <c r="A33" s="33">
        <v>20003</v>
      </c>
      <c r="B33" s="32">
        <v>1140874726</v>
      </c>
      <c r="C33" s="34" t="s">
        <v>321</v>
      </c>
      <c r="E33" s="154"/>
      <c r="F33" s="119"/>
      <c r="G33" s="119"/>
    </row>
    <row r="34" spans="1:7" x14ac:dyDescent="0.25">
      <c r="A34" s="33">
        <v>20003</v>
      </c>
      <c r="B34" s="32">
        <v>1140874728</v>
      </c>
      <c r="C34" s="34" t="s">
        <v>322</v>
      </c>
      <c r="E34" s="154"/>
      <c r="F34" s="119"/>
      <c r="G34" s="119"/>
    </row>
    <row r="35" spans="1:7" x14ac:dyDescent="0.25">
      <c r="A35" s="33">
        <v>20003</v>
      </c>
      <c r="B35" s="32">
        <v>1140874732</v>
      </c>
      <c r="C35" s="34" t="s">
        <v>323</v>
      </c>
      <c r="E35" s="154"/>
      <c r="F35" s="119"/>
      <c r="G35" s="119"/>
    </row>
    <row r="36" spans="1:7" x14ac:dyDescent="0.25">
      <c r="A36" s="33">
        <v>20003</v>
      </c>
      <c r="B36" s="32">
        <v>1140874736</v>
      </c>
      <c r="C36" s="34" t="s">
        <v>324</v>
      </c>
      <c r="E36" s="154"/>
      <c r="F36" s="119"/>
      <c r="G36" s="119"/>
    </row>
    <row r="37" spans="1:7" x14ac:dyDescent="0.25">
      <c r="A37" s="33">
        <v>20003</v>
      </c>
      <c r="B37" s="32">
        <v>1140874740</v>
      </c>
      <c r="C37" s="34" t="s">
        <v>325</v>
      </c>
      <c r="E37" s="154"/>
      <c r="F37" s="119"/>
      <c r="G37" s="119"/>
    </row>
    <row r="38" spans="1:7" x14ac:dyDescent="0.25">
      <c r="A38" s="33">
        <v>20003</v>
      </c>
      <c r="B38" s="32">
        <v>1140874746</v>
      </c>
      <c r="C38" s="34" t="s">
        <v>326</v>
      </c>
      <c r="E38" s="154"/>
      <c r="F38" s="119"/>
      <c r="G38" s="119"/>
    </row>
    <row r="39" spans="1:7" x14ac:dyDescent="0.25">
      <c r="A39" s="33">
        <v>20003</v>
      </c>
      <c r="B39" s="32">
        <v>1141171652</v>
      </c>
      <c r="C39" s="34" t="s">
        <v>327</v>
      </c>
      <c r="E39" s="154"/>
      <c r="F39" s="119"/>
      <c r="G39" s="119"/>
    </row>
    <row r="40" spans="1:7" x14ac:dyDescent="0.25">
      <c r="A40" s="33">
        <v>20003</v>
      </c>
      <c r="B40" s="32">
        <v>1140868908</v>
      </c>
      <c r="C40" s="34" t="s">
        <v>328</v>
      </c>
      <c r="E40" s="154"/>
      <c r="F40" s="119"/>
      <c r="G40" s="119"/>
    </row>
    <row r="41" spans="1:7" x14ac:dyDescent="0.25">
      <c r="A41" s="33">
        <v>20003</v>
      </c>
      <c r="B41" s="32">
        <v>1141168668</v>
      </c>
      <c r="C41" s="34" t="s">
        <v>329</v>
      </c>
      <c r="E41" s="154"/>
      <c r="F41" s="119"/>
      <c r="G41" s="119"/>
    </row>
    <row r="42" spans="1:7" ht="27.75" customHeight="1" x14ac:dyDescent="0.25">
      <c r="A42" s="33">
        <v>20003</v>
      </c>
      <c r="B42" s="32">
        <v>1141157284</v>
      </c>
      <c r="C42" s="34" t="s">
        <v>330</v>
      </c>
      <c r="E42" s="154"/>
      <c r="F42" s="119"/>
      <c r="G42" s="119"/>
    </row>
    <row r="43" spans="1:7" x14ac:dyDescent="0.25">
      <c r="A43" s="125" t="s">
        <v>1124</v>
      </c>
      <c r="B43" s="126"/>
      <c r="C43" s="127"/>
      <c r="D43" s="8"/>
    </row>
    <row r="44" spans="1:7" x14ac:dyDescent="0.25">
      <c r="A44" s="21" t="s">
        <v>113</v>
      </c>
      <c r="B44" s="22" t="s">
        <v>95</v>
      </c>
      <c r="C44" s="23" t="s">
        <v>94</v>
      </c>
      <c r="D44" s="8"/>
    </row>
    <row r="45" spans="1:7" ht="15.75" thickBot="1" x14ac:dyDescent="0.3">
      <c r="A45" s="36">
        <v>30750</v>
      </c>
      <c r="B45" s="12" t="s">
        <v>0</v>
      </c>
      <c r="C45" s="37" t="s">
        <v>331</v>
      </c>
      <c r="E45" s="87">
        <v>16604</v>
      </c>
      <c r="F45" s="153" t="s">
        <v>1134</v>
      </c>
      <c r="G45" s="153"/>
    </row>
    <row r="46" spans="1:7" x14ac:dyDescent="0.25">
      <c r="A46" s="116" t="s">
        <v>1107</v>
      </c>
      <c r="B46" s="117"/>
      <c r="C46" s="118"/>
      <c r="D46" s="8"/>
    </row>
    <row r="47" spans="1:7" x14ac:dyDescent="0.25">
      <c r="A47" s="61" t="s">
        <v>95</v>
      </c>
      <c r="B47" s="62"/>
      <c r="C47" s="27" t="s">
        <v>94</v>
      </c>
      <c r="D47" s="8"/>
    </row>
    <row r="48" spans="1:7" x14ac:dyDescent="0.25">
      <c r="A48" s="7" t="s">
        <v>332</v>
      </c>
      <c r="B48" s="8"/>
      <c r="C48" s="9" t="s">
        <v>333</v>
      </c>
      <c r="E48" s="87">
        <v>0</v>
      </c>
      <c r="F48" s="87"/>
      <c r="G48" s="87"/>
    </row>
    <row r="49" spans="1:7" x14ac:dyDescent="0.25">
      <c r="A49" s="7" t="s">
        <v>334</v>
      </c>
      <c r="B49" s="8"/>
      <c r="C49" s="9" t="s">
        <v>335</v>
      </c>
      <c r="E49" s="87">
        <v>160</v>
      </c>
      <c r="F49" s="87"/>
      <c r="G49" s="87"/>
    </row>
    <row r="50" spans="1:7" x14ac:dyDescent="0.25">
      <c r="A50" s="7" t="s">
        <v>336</v>
      </c>
      <c r="B50" s="8"/>
      <c r="C50" s="9" t="s">
        <v>337</v>
      </c>
      <c r="E50" s="87">
        <v>444</v>
      </c>
      <c r="F50" s="87"/>
      <c r="G50" s="87"/>
    </row>
    <row r="51" spans="1:7" x14ac:dyDescent="0.25">
      <c r="A51" s="7" t="s">
        <v>338</v>
      </c>
      <c r="B51" s="8"/>
      <c r="C51" s="9" t="s">
        <v>339</v>
      </c>
      <c r="E51" s="87">
        <v>688</v>
      </c>
      <c r="F51" s="87"/>
      <c r="G51" s="87"/>
    </row>
    <row r="52" spans="1:7" x14ac:dyDescent="0.25">
      <c r="A52" s="7" t="s">
        <v>340</v>
      </c>
      <c r="B52" s="8"/>
      <c r="C52" s="9" t="s">
        <v>341</v>
      </c>
      <c r="E52" s="87">
        <v>3795</v>
      </c>
      <c r="F52" s="87"/>
      <c r="G52" s="87"/>
    </row>
    <row r="53" spans="1:7" x14ac:dyDescent="0.25">
      <c r="A53" s="7" t="s">
        <v>342</v>
      </c>
      <c r="B53" s="8"/>
      <c r="C53" s="9" t="s">
        <v>343</v>
      </c>
      <c r="E53" s="87">
        <v>1417</v>
      </c>
      <c r="F53" s="87"/>
      <c r="G53" s="87"/>
    </row>
    <row r="54" spans="1:7" x14ac:dyDescent="0.25">
      <c r="A54" s="7" t="s">
        <v>344</v>
      </c>
      <c r="B54" s="8"/>
      <c r="C54" s="9" t="s">
        <v>345</v>
      </c>
      <c r="E54" s="87">
        <v>912</v>
      </c>
      <c r="F54" s="87"/>
      <c r="G54" s="87"/>
    </row>
    <row r="55" spans="1:7" ht="28.5" customHeight="1" x14ac:dyDescent="0.25">
      <c r="A55" s="7" t="s">
        <v>346</v>
      </c>
      <c r="B55" s="8"/>
      <c r="C55" s="9" t="s">
        <v>347</v>
      </c>
      <c r="E55" s="87">
        <v>338</v>
      </c>
      <c r="F55" s="87"/>
      <c r="G55" s="87"/>
    </row>
    <row r="56" spans="1:7" x14ac:dyDescent="0.25">
      <c r="A56" s="7" t="s">
        <v>348</v>
      </c>
      <c r="B56" s="8"/>
      <c r="C56" s="9" t="s">
        <v>349</v>
      </c>
      <c r="E56" s="87">
        <v>15</v>
      </c>
      <c r="F56" s="87"/>
      <c r="G56" s="87"/>
    </row>
    <row r="57" spans="1:7" x14ac:dyDescent="0.25">
      <c r="A57" s="7" t="s">
        <v>350</v>
      </c>
      <c r="B57" s="8"/>
      <c r="C57" s="9" t="s">
        <v>351</v>
      </c>
      <c r="E57" s="91">
        <v>122</v>
      </c>
      <c r="F57" s="91"/>
      <c r="G57" s="91"/>
    </row>
    <row r="58" spans="1:7" ht="15.75" thickBot="1" x14ac:dyDescent="0.3">
      <c r="A58" s="7" t="s">
        <v>352</v>
      </c>
      <c r="B58" s="8"/>
      <c r="C58" s="9" t="s">
        <v>353</v>
      </c>
      <c r="E58" s="91">
        <v>40232</v>
      </c>
      <c r="F58" s="91"/>
      <c r="G58" s="91"/>
    </row>
    <row r="59" spans="1:7" ht="29.25" customHeight="1" x14ac:dyDescent="0.25">
      <c r="A59" s="116" t="s">
        <v>1108</v>
      </c>
      <c r="B59" s="117"/>
      <c r="C59" s="117"/>
      <c r="D59" s="118"/>
    </row>
    <row r="60" spans="1:7" x14ac:dyDescent="0.25">
      <c r="A60" s="24" t="s">
        <v>96</v>
      </c>
      <c r="B60" s="25" t="s">
        <v>95</v>
      </c>
      <c r="C60" s="25" t="s">
        <v>94</v>
      </c>
      <c r="D60" s="63"/>
    </row>
    <row r="61" spans="1:7" x14ac:dyDescent="0.25">
      <c r="A61" s="39" t="s">
        <v>354</v>
      </c>
      <c r="B61" s="8" t="s">
        <v>334</v>
      </c>
      <c r="C61" s="32" t="s">
        <v>355</v>
      </c>
      <c r="D61" s="9"/>
      <c r="E61" s="87">
        <v>1557</v>
      </c>
      <c r="F61" s="87"/>
      <c r="G61" s="87"/>
    </row>
    <row r="62" spans="1:7" x14ac:dyDescent="0.25">
      <c r="A62" s="7" t="s">
        <v>356</v>
      </c>
      <c r="B62" s="8" t="s">
        <v>352</v>
      </c>
      <c r="C62" s="8" t="s">
        <v>357</v>
      </c>
      <c r="D62" s="9"/>
      <c r="E62" s="87">
        <v>672</v>
      </c>
      <c r="F62" s="87"/>
      <c r="G62" s="87"/>
    </row>
    <row r="63" spans="1:7" x14ac:dyDescent="0.25">
      <c r="A63" s="7" t="s">
        <v>358</v>
      </c>
      <c r="B63" s="8" t="s">
        <v>336</v>
      </c>
      <c r="C63" s="8" t="s">
        <v>359</v>
      </c>
      <c r="D63" s="9"/>
      <c r="E63" s="87">
        <v>3</v>
      </c>
      <c r="F63" s="87"/>
      <c r="G63" s="87"/>
    </row>
    <row r="64" spans="1:7" x14ac:dyDescent="0.25">
      <c r="A64" s="7" t="s">
        <v>360</v>
      </c>
      <c r="B64" s="8" t="s">
        <v>334</v>
      </c>
      <c r="C64" s="8" t="s">
        <v>361</v>
      </c>
      <c r="D64" s="9"/>
      <c r="E64" s="87">
        <v>0</v>
      </c>
      <c r="F64" s="87"/>
      <c r="G64" s="87"/>
    </row>
    <row r="65" spans="1:7" x14ac:dyDescent="0.25">
      <c r="A65" s="7" t="s">
        <v>362</v>
      </c>
      <c r="B65" s="8" t="s">
        <v>334</v>
      </c>
      <c r="C65" s="8" t="s">
        <v>363</v>
      </c>
      <c r="D65" s="9"/>
      <c r="E65" s="87">
        <v>0</v>
      </c>
      <c r="F65" s="87"/>
      <c r="G65" s="87"/>
    </row>
    <row r="66" spans="1:7" x14ac:dyDescent="0.25">
      <c r="A66" s="7" t="s">
        <v>364</v>
      </c>
      <c r="B66" s="8" t="s">
        <v>344</v>
      </c>
      <c r="C66" s="8" t="s">
        <v>365</v>
      </c>
      <c r="D66" s="9"/>
      <c r="E66" s="87">
        <v>0</v>
      </c>
      <c r="F66" s="87"/>
      <c r="G66" s="87"/>
    </row>
    <row r="67" spans="1:7" x14ac:dyDescent="0.25">
      <c r="A67" s="7" t="s">
        <v>366</v>
      </c>
      <c r="B67" s="8" t="s">
        <v>344</v>
      </c>
      <c r="C67" s="8" t="s">
        <v>367</v>
      </c>
      <c r="D67" s="9"/>
      <c r="E67" s="87">
        <v>0</v>
      </c>
      <c r="F67" s="87"/>
      <c r="G67" s="87"/>
    </row>
    <row r="68" spans="1:7" x14ac:dyDescent="0.25">
      <c r="A68" s="7" t="s">
        <v>368</v>
      </c>
      <c r="B68" s="8" t="s">
        <v>344</v>
      </c>
      <c r="C68" s="8" t="s">
        <v>369</v>
      </c>
      <c r="D68" s="9"/>
      <c r="E68" s="87">
        <v>2</v>
      </c>
      <c r="F68" s="87"/>
      <c r="G68" s="87"/>
    </row>
    <row r="69" spans="1:7" x14ac:dyDescent="0.25">
      <c r="A69" s="7" t="s">
        <v>370</v>
      </c>
      <c r="B69" s="8" t="s">
        <v>340</v>
      </c>
      <c r="C69" s="8" t="s">
        <v>371</v>
      </c>
      <c r="D69" s="9"/>
      <c r="E69" s="87">
        <v>11</v>
      </c>
      <c r="F69" s="87"/>
      <c r="G69" s="87"/>
    </row>
    <row r="70" spans="1:7" x14ac:dyDescent="0.25">
      <c r="A70" s="7" t="s">
        <v>372</v>
      </c>
      <c r="B70" s="8" t="s">
        <v>348</v>
      </c>
      <c r="C70" s="8" t="s">
        <v>373</v>
      </c>
      <c r="D70" s="9"/>
      <c r="E70" s="87">
        <v>11</v>
      </c>
      <c r="F70" s="87"/>
      <c r="G70" s="87"/>
    </row>
    <row r="71" spans="1:7" x14ac:dyDescent="0.25">
      <c r="A71" s="7" t="s">
        <v>374</v>
      </c>
      <c r="B71" s="8" t="s">
        <v>344</v>
      </c>
      <c r="C71" s="8" t="s">
        <v>375</v>
      </c>
      <c r="D71" s="9"/>
      <c r="E71" s="87">
        <v>32</v>
      </c>
      <c r="F71" s="87"/>
      <c r="G71" s="87"/>
    </row>
    <row r="72" spans="1:7" x14ac:dyDescent="0.25">
      <c r="A72" s="7" t="s">
        <v>374</v>
      </c>
      <c r="B72" s="8" t="s">
        <v>344</v>
      </c>
      <c r="C72" s="8" t="s">
        <v>375</v>
      </c>
      <c r="D72" s="9"/>
      <c r="E72" s="87">
        <v>32</v>
      </c>
      <c r="F72" s="87"/>
      <c r="G72" s="87"/>
    </row>
    <row r="73" spans="1:7" x14ac:dyDescent="0.25">
      <c r="A73" s="7" t="s">
        <v>376</v>
      </c>
      <c r="B73" s="8" t="s">
        <v>344</v>
      </c>
      <c r="C73" s="8" t="s">
        <v>377</v>
      </c>
      <c r="D73" s="9"/>
      <c r="E73" s="87">
        <v>3</v>
      </c>
      <c r="F73" s="87"/>
      <c r="G73" s="87"/>
    </row>
    <row r="74" spans="1:7" x14ac:dyDescent="0.25">
      <c r="A74" s="7" t="s">
        <v>376</v>
      </c>
      <c r="B74" s="8" t="s">
        <v>344</v>
      </c>
      <c r="C74" s="8" t="s">
        <v>377</v>
      </c>
      <c r="D74" s="9"/>
      <c r="E74" s="87">
        <v>3</v>
      </c>
      <c r="F74" s="87"/>
      <c r="G74" s="87"/>
    </row>
    <row r="75" spans="1:7" x14ac:dyDescent="0.25">
      <c r="A75" s="7" t="s">
        <v>378</v>
      </c>
      <c r="B75" s="8" t="s">
        <v>352</v>
      </c>
      <c r="C75" s="8" t="s">
        <v>379</v>
      </c>
      <c r="D75" s="9"/>
      <c r="E75" s="87">
        <v>241</v>
      </c>
      <c r="F75" s="87"/>
      <c r="G75" s="87"/>
    </row>
    <row r="76" spans="1:7" x14ac:dyDescent="0.25">
      <c r="A76" s="7" t="s">
        <v>378</v>
      </c>
      <c r="B76" s="8" t="s">
        <v>352</v>
      </c>
      <c r="C76" s="8" t="s">
        <v>379</v>
      </c>
      <c r="D76" s="9"/>
      <c r="E76" s="87">
        <v>241</v>
      </c>
      <c r="F76" s="87"/>
      <c r="G76" s="87"/>
    </row>
    <row r="77" spans="1:7" x14ac:dyDescent="0.25">
      <c r="A77" s="7" t="s">
        <v>380</v>
      </c>
      <c r="B77" s="8" t="s">
        <v>352</v>
      </c>
      <c r="C77" s="8" t="s">
        <v>381</v>
      </c>
      <c r="D77" s="9"/>
      <c r="E77" s="87">
        <v>4</v>
      </c>
      <c r="F77" s="87"/>
      <c r="G77" s="87"/>
    </row>
    <row r="78" spans="1:7" x14ac:dyDescent="0.25">
      <c r="A78" s="7" t="s">
        <v>382</v>
      </c>
      <c r="B78" s="8" t="s">
        <v>334</v>
      </c>
      <c r="C78" s="8" t="s">
        <v>383</v>
      </c>
      <c r="D78" s="9"/>
      <c r="E78" s="87">
        <v>0</v>
      </c>
      <c r="F78" s="87"/>
      <c r="G78" s="87"/>
    </row>
    <row r="79" spans="1:7" x14ac:dyDescent="0.25">
      <c r="A79" s="7" t="s">
        <v>384</v>
      </c>
      <c r="B79" s="8" t="s">
        <v>352</v>
      </c>
      <c r="C79" s="8" t="s">
        <v>385</v>
      </c>
      <c r="D79" s="9"/>
      <c r="E79" s="87">
        <v>48</v>
      </c>
      <c r="F79" s="87"/>
      <c r="G79" s="87"/>
    </row>
    <row r="80" spans="1:7" x14ac:dyDescent="0.25">
      <c r="A80" s="7" t="s">
        <v>386</v>
      </c>
      <c r="B80" s="8" t="s">
        <v>352</v>
      </c>
      <c r="C80" s="8" t="s">
        <v>387</v>
      </c>
      <c r="D80" s="9"/>
      <c r="E80" s="87">
        <v>3</v>
      </c>
      <c r="F80" s="87"/>
      <c r="G80" s="87"/>
    </row>
    <row r="81" spans="1:7" x14ac:dyDescent="0.25">
      <c r="A81" s="7" t="s">
        <v>388</v>
      </c>
      <c r="B81" s="8" t="s">
        <v>348</v>
      </c>
      <c r="C81" s="8" t="s">
        <v>389</v>
      </c>
      <c r="D81" s="9"/>
      <c r="E81" s="87">
        <v>0</v>
      </c>
      <c r="F81" s="87"/>
      <c r="G81" s="87"/>
    </row>
    <row r="82" spans="1:7" x14ac:dyDescent="0.25">
      <c r="A82" s="7" t="s">
        <v>390</v>
      </c>
      <c r="B82" s="8" t="s">
        <v>344</v>
      </c>
      <c r="C82" s="8" t="s">
        <v>391</v>
      </c>
      <c r="D82" s="9"/>
      <c r="E82" s="87">
        <v>0</v>
      </c>
      <c r="F82" s="87"/>
      <c r="G82" s="87"/>
    </row>
    <row r="83" spans="1:7" x14ac:dyDescent="0.25">
      <c r="A83" s="7" t="s">
        <v>392</v>
      </c>
      <c r="B83" s="8" t="s">
        <v>344</v>
      </c>
      <c r="C83" s="8" t="s">
        <v>393</v>
      </c>
      <c r="D83" s="9"/>
      <c r="E83" s="87">
        <v>0</v>
      </c>
      <c r="F83" s="87"/>
      <c r="G83" s="87"/>
    </row>
    <row r="84" spans="1:7" x14ac:dyDescent="0.25">
      <c r="A84" s="7" t="s">
        <v>394</v>
      </c>
      <c r="B84" s="8" t="s">
        <v>352</v>
      </c>
      <c r="C84" s="8" t="s">
        <v>395</v>
      </c>
      <c r="D84" s="9"/>
      <c r="E84" s="87">
        <v>9</v>
      </c>
      <c r="F84" s="87"/>
      <c r="G84" s="87"/>
    </row>
    <row r="85" spans="1:7" x14ac:dyDescent="0.25">
      <c r="A85" s="7" t="s">
        <v>396</v>
      </c>
      <c r="B85" s="8" t="s">
        <v>346</v>
      </c>
      <c r="C85" s="8" t="s">
        <v>397</v>
      </c>
      <c r="D85" s="9"/>
      <c r="E85" s="87">
        <v>0</v>
      </c>
      <c r="F85" s="87"/>
      <c r="G85" s="87"/>
    </row>
    <row r="86" spans="1:7" x14ac:dyDescent="0.25">
      <c r="A86" s="7" t="s">
        <v>398</v>
      </c>
      <c r="B86" s="8" t="s">
        <v>352</v>
      </c>
      <c r="C86" s="8" t="s">
        <v>399</v>
      </c>
      <c r="D86" s="9"/>
      <c r="E86" s="87">
        <v>7</v>
      </c>
      <c r="F86" s="87"/>
      <c r="G86" s="87"/>
    </row>
    <row r="87" spans="1:7" x14ac:dyDescent="0.25">
      <c r="A87" s="7" t="s">
        <v>400</v>
      </c>
      <c r="B87" s="8" t="s">
        <v>334</v>
      </c>
      <c r="C87" s="8" t="s">
        <v>401</v>
      </c>
      <c r="D87" s="9"/>
      <c r="E87" s="87">
        <v>0</v>
      </c>
      <c r="F87" s="87"/>
      <c r="G87" s="87"/>
    </row>
    <row r="88" spans="1:7" x14ac:dyDescent="0.25">
      <c r="A88" s="7" t="s">
        <v>402</v>
      </c>
      <c r="B88" s="8" t="s">
        <v>352</v>
      </c>
      <c r="C88" s="8" t="s">
        <v>385</v>
      </c>
      <c r="D88" s="9"/>
      <c r="E88" s="87">
        <v>157</v>
      </c>
      <c r="F88" s="87"/>
      <c r="G88" s="87"/>
    </row>
    <row r="89" spans="1:7" x14ac:dyDescent="0.25">
      <c r="A89" s="7" t="s">
        <v>403</v>
      </c>
      <c r="B89" s="8" t="s">
        <v>352</v>
      </c>
      <c r="C89" s="8" t="s">
        <v>387</v>
      </c>
      <c r="D89" s="9"/>
      <c r="E89" s="87">
        <v>4</v>
      </c>
      <c r="F89" s="87"/>
      <c r="G89" s="87"/>
    </row>
    <row r="90" spans="1:7" x14ac:dyDescent="0.25">
      <c r="A90" s="7" t="s">
        <v>404</v>
      </c>
      <c r="B90" s="8" t="s">
        <v>336</v>
      </c>
      <c r="C90" s="8" t="s">
        <v>405</v>
      </c>
      <c r="D90" s="9"/>
      <c r="E90" s="87">
        <v>3</v>
      </c>
      <c r="F90" s="87"/>
      <c r="G90" s="87"/>
    </row>
    <row r="91" spans="1:7" x14ac:dyDescent="0.25">
      <c r="A91" s="7" t="s">
        <v>406</v>
      </c>
      <c r="B91" s="8" t="s">
        <v>334</v>
      </c>
      <c r="C91" s="8" t="s">
        <v>407</v>
      </c>
      <c r="D91" s="9"/>
      <c r="E91" s="87">
        <v>0</v>
      </c>
      <c r="F91" s="87"/>
      <c r="G91" s="87"/>
    </row>
    <row r="92" spans="1:7" x14ac:dyDescent="0.25">
      <c r="A92" s="7" t="s">
        <v>408</v>
      </c>
      <c r="B92" s="8" t="s">
        <v>352</v>
      </c>
      <c r="C92" s="8" t="s">
        <v>409</v>
      </c>
      <c r="D92" s="9"/>
      <c r="E92" s="87">
        <v>1</v>
      </c>
      <c r="F92" s="87"/>
      <c r="G92" s="87"/>
    </row>
    <row r="93" spans="1:7" x14ac:dyDescent="0.25">
      <c r="A93" s="7" t="s">
        <v>410</v>
      </c>
      <c r="B93" s="8" t="s">
        <v>352</v>
      </c>
      <c r="C93" s="8" t="s">
        <v>411</v>
      </c>
      <c r="D93" s="48"/>
      <c r="E93" s="87">
        <v>0</v>
      </c>
      <c r="F93" s="87"/>
      <c r="G93" s="87"/>
    </row>
    <row r="94" spans="1:7" x14ac:dyDescent="0.25">
      <c r="A94" s="7" t="s">
        <v>412</v>
      </c>
      <c r="B94" s="8" t="s">
        <v>352</v>
      </c>
      <c r="C94" s="8" t="s">
        <v>413</v>
      </c>
      <c r="D94" s="64"/>
      <c r="E94" s="87">
        <v>0</v>
      </c>
      <c r="F94" s="87"/>
      <c r="G94" s="87"/>
    </row>
    <row r="95" spans="1:7" x14ac:dyDescent="0.25">
      <c r="A95" s="7" t="s">
        <v>414</v>
      </c>
      <c r="B95" s="8" t="s">
        <v>346</v>
      </c>
      <c r="C95" s="8" t="s">
        <v>415</v>
      </c>
      <c r="D95" s="64"/>
      <c r="E95" s="87">
        <v>0</v>
      </c>
      <c r="F95" s="87"/>
      <c r="G95" s="87"/>
    </row>
    <row r="96" spans="1:7" x14ac:dyDescent="0.25">
      <c r="A96" s="7" t="s">
        <v>416</v>
      </c>
      <c r="B96" s="8" t="s">
        <v>350</v>
      </c>
      <c r="C96" s="8" t="s">
        <v>417</v>
      </c>
      <c r="D96" s="64"/>
      <c r="E96" s="87">
        <v>0</v>
      </c>
      <c r="F96" s="87"/>
      <c r="G96" s="87"/>
    </row>
    <row r="97" spans="1:7" x14ac:dyDescent="0.25">
      <c r="A97" s="56" t="s">
        <v>418</v>
      </c>
      <c r="B97" s="47" t="s">
        <v>419</v>
      </c>
      <c r="C97" s="40" t="s">
        <v>298</v>
      </c>
      <c r="D97" s="64"/>
      <c r="E97" s="87">
        <v>0</v>
      </c>
      <c r="F97" s="119" t="s">
        <v>1141</v>
      </c>
      <c r="G97" s="119"/>
    </row>
    <row r="98" spans="1:7" x14ac:dyDescent="0.25">
      <c r="A98" s="56" t="s">
        <v>420</v>
      </c>
      <c r="B98" s="47" t="s">
        <v>419</v>
      </c>
      <c r="C98" s="40" t="s">
        <v>298</v>
      </c>
      <c r="D98" s="48" t="s">
        <v>421</v>
      </c>
      <c r="E98" s="87">
        <v>0</v>
      </c>
      <c r="F98" s="119"/>
      <c r="G98" s="119"/>
    </row>
    <row r="99" spans="1:7" x14ac:dyDescent="0.25">
      <c r="A99" s="56" t="s">
        <v>422</v>
      </c>
      <c r="B99" s="47" t="s">
        <v>419</v>
      </c>
      <c r="C99" s="40" t="s">
        <v>298</v>
      </c>
      <c r="D99" s="48" t="s">
        <v>423</v>
      </c>
      <c r="E99" s="87">
        <v>0</v>
      </c>
      <c r="F99" s="119"/>
      <c r="G99" s="119"/>
    </row>
    <row r="100" spans="1:7" x14ac:dyDescent="0.25">
      <c r="A100" s="56" t="s">
        <v>424</v>
      </c>
      <c r="B100" s="47" t="s">
        <v>419</v>
      </c>
      <c r="C100" s="40" t="s">
        <v>298</v>
      </c>
      <c r="D100" s="48" t="s">
        <v>425</v>
      </c>
      <c r="E100" s="87">
        <v>0</v>
      </c>
      <c r="F100" s="119"/>
      <c r="G100" s="119"/>
    </row>
    <row r="101" spans="1:7" x14ac:dyDescent="0.25">
      <c r="A101" s="56" t="s">
        <v>426</v>
      </c>
      <c r="B101" s="47" t="s">
        <v>419</v>
      </c>
      <c r="C101" s="49" t="s">
        <v>299</v>
      </c>
      <c r="D101" s="50"/>
      <c r="E101" s="87">
        <v>0</v>
      </c>
      <c r="F101" s="119"/>
      <c r="G101" s="119"/>
    </row>
    <row r="102" spans="1:7" x14ac:dyDescent="0.25">
      <c r="A102" s="56" t="s">
        <v>427</v>
      </c>
      <c r="B102" s="47" t="s">
        <v>419</v>
      </c>
      <c r="C102" s="49" t="s">
        <v>299</v>
      </c>
      <c r="D102" s="50" t="s">
        <v>428</v>
      </c>
      <c r="E102" s="87">
        <v>0</v>
      </c>
      <c r="F102" s="119"/>
      <c r="G102" s="119"/>
    </row>
    <row r="103" spans="1:7" x14ac:dyDescent="0.25">
      <c r="A103" s="56" t="s">
        <v>429</v>
      </c>
      <c r="B103" s="47" t="s">
        <v>419</v>
      </c>
      <c r="C103" s="49" t="s">
        <v>299</v>
      </c>
      <c r="D103" s="50" t="s">
        <v>430</v>
      </c>
      <c r="E103" s="87">
        <v>0</v>
      </c>
      <c r="F103" s="119"/>
      <c r="G103" s="119"/>
    </row>
    <row r="104" spans="1:7" x14ac:dyDescent="0.25">
      <c r="A104" s="56" t="s">
        <v>431</v>
      </c>
      <c r="B104" s="47" t="s">
        <v>419</v>
      </c>
      <c r="C104" s="51" t="s">
        <v>300</v>
      </c>
      <c r="D104" s="48"/>
      <c r="E104" s="87">
        <v>0</v>
      </c>
      <c r="F104" s="119"/>
      <c r="G104" s="119"/>
    </row>
    <row r="105" spans="1:7" x14ac:dyDescent="0.25">
      <c r="A105" s="56" t="s">
        <v>432</v>
      </c>
      <c r="B105" s="47" t="s">
        <v>419</v>
      </c>
      <c r="C105" s="51" t="s">
        <v>300</v>
      </c>
      <c r="D105" s="48" t="s">
        <v>433</v>
      </c>
      <c r="E105" s="87">
        <v>0</v>
      </c>
      <c r="F105" s="119"/>
      <c r="G105" s="119"/>
    </row>
    <row r="106" spans="1:7" x14ac:dyDescent="0.25">
      <c r="A106" s="56" t="s">
        <v>434</v>
      </c>
      <c r="B106" s="47" t="s">
        <v>419</v>
      </c>
      <c r="C106" s="51" t="s">
        <v>301</v>
      </c>
      <c r="D106" s="48" t="s">
        <v>433</v>
      </c>
      <c r="E106" s="87">
        <v>0</v>
      </c>
      <c r="F106" s="119"/>
      <c r="G106" s="119"/>
    </row>
    <row r="107" spans="1:7" x14ac:dyDescent="0.25">
      <c r="A107" s="56" t="s">
        <v>435</v>
      </c>
      <c r="B107" s="47" t="s">
        <v>419</v>
      </c>
      <c r="C107" s="51" t="s">
        <v>301</v>
      </c>
      <c r="D107" s="48" t="s">
        <v>436</v>
      </c>
      <c r="E107" s="87">
        <v>0</v>
      </c>
      <c r="F107" s="119"/>
      <c r="G107" s="119"/>
    </row>
    <row r="108" spans="1:7" x14ac:dyDescent="0.25">
      <c r="A108" s="56" t="s">
        <v>437</v>
      </c>
      <c r="B108" s="47" t="s">
        <v>419</v>
      </c>
      <c r="C108" s="51" t="s">
        <v>301</v>
      </c>
      <c r="D108" s="48" t="s">
        <v>438</v>
      </c>
      <c r="E108" s="87">
        <v>0</v>
      </c>
      <c r="F108" s="119"/>
      <c r="G108" s="119"/>
    </row>
    <row r="109" spans="1:7" x14ac:dyDescent="0.25">
      <c r="A109" s="56" t="s">
        <v>439</v>
      </c>
      <c r="B109" s="47" t="s">
        <v>419</v>
      </c>
      <c r="C109" s="51" t="s">
        <v>301</v>
      </c>
      <c r="D109" s="48" t="s">
        <v>440</v>
      </c>
      <c r="E109" s="87">
        <v>0</v>
      </c>
      <c r="F109" s="119"/>
      <c r="G109" s="119"/>
    </row>
    <row r="110" spans="1:7" x14ac:dyDescent="0.25">
      <c r="A110" s="56" t="s">
        <v>441</v>
      </c>
      <c r="B110" s="47" t="s">
        <v>419</v>
      </c>
      <c r="C110" s="51" t="s">
        <v>301</v>
      </c>
      <c r="D110" s="48" t="s">
        <v>442</v>
      </c>
      <c r="E110" s="87">
        <v>0</v>
      </c>
      <c r="F110" s="119"/>
      <c r="G110" s="119"/>
    </row>
    <row r="111" spans="1:7" x14ac:dyDescent="0.25">
      <c r="A111" s="56" t="s">
        <v>443</v>
      </c>
      <c r="B111" s="47" t="s">
        <v>419</v>
      </c>
      <c r="C111" s="51" t="s">
        <v>301</v>
      </c>
      <c r="D111" s="48" t="s">
        <v>444</v>
      </c>
      <c r="E111" s="87">
        <v>0</v>
      </c>
      <c r="F111" s="119"/>
      <c r="G111" s="119"/>
    </row>
    <row r="112" spans="1:7" x14ac:dyDescent="0.25">
      <c r="A112" s="56" t="s">
        <v>445</v>
      </c>
      <c r="B112" s="47" t="s">
        <v>419</v>
      </c>
      <c r="C112" s="51" t="s">
        <v>301</v>
      </c>
      <c r="D112" s="48" t="s">
        <v>446</v>
      </c>
      <c r="E112" s="87">
        <v>0</v>
      </c>
      <c r="F112" s="119"/>
      <c r="G112" s="119"/>
    </row>
    <row r="113" spans="1:7" x14ac:dyDescent="0.25">
      <c r="A113" s="56" t="s">
        <v>447</v>
      </c>
      <c r="B113" s="47" t="s">
        <v>419</v>
      </c>
      <c r="C113" s="51" t="s">
        <v>448</v>
      </c>
      <c r="D113" s="48"/>
      <c r="E113" s="87">
        <v>0</v>
      </c>
      <c r="F113" s="119"/>
      <c r="G113" s="119"/>
    </row>
    <row r="114" spans="1:7" x14ac:dyDescent="0.25">
      <c r="A114" s="56" t="s">
        <v>449</v>
      </c>
      <c r="B114" s="47" t="s">
        <v>419</v>
      </c>
      <c r="C114" s="51" t="s">
        <v>448</v>
      </c>
      <c r="D114" s="48" t="s">
        <v>450</v>
      </c>
      <c r="E114" s="87">
        <v>0</v>
      </c>
      <c r="F114" s="119"/>
      <c r="G114" s="119"/>
    </row>
    <row r="115" spans="1:7" x14ac:dyDescent="0.25">
      <c r="A115" s="57" t="s">
        <v>451</v>
      </c>
      <c r="B115" s="47" t="s">
        <v>419</v>
      </c>
      <c r="C115" s="51" t="s">
        <v>448</v>
      </c>
      <c r="D115" s="41" t="s">
        <v>430</v>
      </c>
      <c r="E115" s="87">
        <v>0</v>
      </c>
      <c r="F115" s="119"/>
      <c r="G115" s="119"/>
    </row>
    <row r="116" spans="1:7" x14ac:dyDescent="0.25">
      <c r="A116" s="56" t="s">
        <v>452</v>
      </c>
      <c r="B116" s="47" t="s">
        <v>419</v>
      </c>
      <c r="C116" s="51" t="s">
        <v>303</v>
      </c>
      <c r="D116" s="48"/>
      <c r="E116" s="87">
        <v>0</v>
      </c>
      <c r="F116" s="119"/>
      <c r="G116" s="119"/>
    </row>
    <row r="117" spans="1:7" x14ac:dyDescent="0.25">
      <c r="A117" s="57" t="s">
        <v>453</v>
      </c>
      <c r="B117" s="47" t="s">
        <v>419</v>
      </c>
      <c r="C117" s="51" t="s">
        <v>303</v>
      </c>
      <c r="D117" s="41" t="s">
        <v>425</v>
      </c>
      <c r="E117" s="87">
        <v>0</v>
      </c>
      <c r="F117" s="119"/>
      <c r="G117" s="119"/>
    </row>
    <row r="118" spans="1:7" x14ac:dyDescent="0.25">
      <c r="A118" s="57" t="s">
        <v>454</v>
      </c>
      <c r="B118" s="47" t="s">
        <v>419</v>
      </c>
      <c r="C118" s="51" t="s">
        <v>303</v>
      </c>
      <c r="D118" s="41" t="s">
        <v>421</v>
      </c>
      <c r="E118" s="87">
        <v>0</v>
      </c>
      <c r="F118" s="119"/>
      <c r="G118" s="119"/>
    </row>
    <row r="119" spans="1:7" x14ac:dyDescent="0.25">
      <c r="A119" s="57" t="s">
        <v>455</v>
      </c>
      <c r="B119" s="47" t="s">
        <v>419</v>
      </c>
      <c r="C119" s="42" t="s">
        <v>304</v>
      </c>
      <c r="D119" s="48"/>
      <c r="E119" s="87">
        <v>13</v>
      </c>
      <c r="F119" s="119"/>
      <c r="G119" s="119"/>
    </row>
    <row r="120" spans="1:7" x14ac:dyDescent="0.25">
      <c r="A120" s="57" t="s">
        <v>456</v>
      </c>
      <c r="B120" s="47" t="s">
        <v>419</v>
      </c>
      <c r="C120" s="42" t="s">
        <v>304</v>
      </c>
      <c r="D120" s="41" t="s">
        <v>457</v>
      </c>
      <c r="E120" s="87">
        <v>0</v>
      </c>
      <c r="F120" s="119"/>
      <c r="G120" s="119"/>
    </row>
    <row r="121" spans="1:7" x14ac:dyDescent="0.25">
      <c r="A121" s="57" t="s">
        <v>458</v>
      </c>
      <c r="B121" s="47" t="s">
        <v>419</v>
      </c>
      <c r="C121" s="42" t="s">
        <v>304</v>
      </c>
      <c r="D121" s="41" t="s">
        <v>459</v>
      </c>
      <c r="E121" s="87">
        <v>0</v>
      </c>
      <c r="F121" s="119"/>
      <c r="G121" s="119"/>
    </row>
    <row r="122" spans="1:7" x14ac:dyDescent="0.25">
      <c r="A122" s="57" t="s">
        <v>460</v>
      </c>
      <c r="B122" s="47" t="s">
        <v>419</v>
      </c>
      <c r="C122" s="42" t="s">
        <v>304</v>
      </c>
      <c r="D122" s="41" t="s">
        <v>461</v>
      </c>
      <c r="E122" s="87">
        <v>1</v>
      </c>
      <c r="F122" s="119"/>
      <c r="G122" s="119"/>
    </row>
    <row r="123" spans="1:7" x14ac:dyDescent="0.25">
      <c r="A123" s="57" t="s">
        <v>462</v>
      </c>
      <c r="B123" s="47" t="s">
        <v>419</v>
      </c>
      <c r="C123" s="42" t="s">
        <v>304</v>
      </c>
      <c r="D123" s="41" t="s">
        <v>463</v>
      </c>
      <c r="E123" s="87">
        <v>31</v>
      </c>
      <c r="F123" s="119"/>
      <c r="G123" s="119"/>
    </row>
    <row r="124" spans="1:7" x14ac:dyDescent="0.25">
      <c r="A124" s="58" t="s">
        <v>464</v>
      </c>
      <c r="B124" s="47" t="s">
        <v>419</v>
      </c>
      <c r="C124" s="40" t="s">
        <v>465</v>
      </c>
      <c r="D124" s="43" t="s">
        <v>466</v>
      </c>
      <c r="E124" s="87">
        <v>1</v>
      </c>
      <c r="F124" s="119"/>
      <c r="G124" s="119"/>
    </row>
    <row r="125" spans="1:7" x14ac:dyDescent="0.25">
      <c r="A125" s="58" t="s">
        <v>467</v>
      </c>
      <c r="B125" s="47" t="s">
        <v>419</v>
      </c>
      <c r="C125" s="40" t="s">
        <v>465</v>
      </c>
      <c r="D125" s="43" t="s">
        <v>468</v>
      </c>
      <c r="E125" s="87">
        <v>0</v>
      </c>
      <c r="F125" s="119"/>
      <c r="G125" s="119"/>
    </row>
    <row r="126" spans="1:7" x14ac:dyDescent="0.25">
      <c r="A126" s="58" t="s">
        <v>469</v>
      </c>
      <c r="B126" s="47" t="s">
        <v>419</v>
      </c>
      <c r="C126" s="40" t="s">
        <v>465</v>
      </c>
      <c r="D126" s="43" t="s">
        <v>470</v>
      </c>
      <c r="E126" s="87">
        <v>0</v>
      </c>
      <c r="F126" s="119"/>
      <c r="G126" s="119"/>
    </row>
    <row r="127" spans="1:7" x14ac:dyDescent="0.25">
      <c r="A127" s="58" t="s">
        <v>471</v>
      </c>
      <c r="B127" s="47" t="s">
        <v>419</v>
      </c>
      <c r="C127" s="40" t="s">
        <v>465</v>
      </c>
      <c r="D127" s="43" t="s">
        <v>472</v>
      </c>
      <c r="E127" s="87">
        <v>0</v>
      </c>
      <c r="F127" s="119"/>
      <c r="G127" s="119"/>
    </row>
    <row r="128" spans="1:7" x14ac:dyDescent="0.25">
      <c r="A128" s="58" t="s">
        <v>473</v>
      </c>
      <c r="B128" s="47" t="s">
        <v>419</v>
      </c>
      <c r="C128" s="40" t="s">
        <v>465</v>
      </c>
      <c r="D128" s="43" t="s">
        <v>474</v>
      </c>
      <c r="E128" s="87">
        <v>0</v>
      </c>
      <c r="F128" s="119"/>
      <c r="G128" s="119"/>
    </row>
    <row r="129" spans="1:7" x14ac:dyDescent="0.25">
      <c r="A129" s="58" t="s">
        <v>475</v>
      </c>
      <c r="B129" s="47" t="s">
        <v>419</v>
      </c>
      <c r="C129" s="40" t="s">
        <v>465</v>
      </c>
      <c r="D129" s="43" t="s">
        <v>476</v>
      </c>
      <c r="E129" s="87">
        <v>0</v>
      </c>
      <c r="F129" s="119"/>
      <c r="G129" s="119"/>
    </row>
    <row r="130" spans="1:7" x14ac:dyDescent="0.25">
      <c r="A130" s="58" t="s">
        <v>477</v>
      </c>
      <c r="B130" s="47" t="s">
        <v>419</v>
      </c>
      <c r="C130" s="40" t="s">
        <v>465</v>
      </c>
      <c r="D130" s="43" t="s">
        <v>478</v>
      </c>
      <c r="E130" s="87">
        <v>0</v>
      </c>
      <c r="F130" s="119"/>
      <c r="G130" s="119"/>
    </row>
    <row r="131" spans="1:7" x14ac:dyDescent="0.25">
      <c r="A131" s="58" t="s">
        <v>479</v>
      </c>
      <c r="B131" s="47" t="s">
        <v>419</v>
      </c>
      <c r="C131" s="40" t="s">
        <v>465</v>
      </c>
      <c r="D131" s="43" t="s">
        <v>480</v>
      </c>
      <c r="E131" s="87">
        <v>0</v>
      </c>
      <c r="F131" s="119"/>
      <c r="G131" s="119"/>
    </row>
    <row r="132" spans="1:7" x14ac:dyDescent="0.25">
      <c r="A132" s="58" t="s">
        <v>481</v>
      </c>
      <c r="B132" s="47" t="s">
        <v>419</v>
      </c>
      <c r="C132" s="40" t="s">
        <v>465</v>
      </c>
      <c r="D132" s="43" t="s">
        <v>482</v>
      </c>
      <c r="E132" s="87">
        <v>0</v>
      </c>
      <c r="F132" s="119"/>
      <c r="G132" s="119"/>
    </row>
    <row r="133" spans="1:7" x14ac:dyDescent="0.25">
      <c r="A133" s="58" t="s">
        <v>483</v>
      </c>
      <c r="B133" s="47" t="s">
        <v>419</v>
      </c>
      <c r="C133" s="40" t="s">
        <v>465</v>
      </c>
      <c r="D133" s="43" t="s">
        <v>484</v>
      </c>
      <c r="E133" s="87">
        <v>0</v>
      </c>
      <c r="F133" s="119"/>
      <c r="G133" s="119"/>
    </row>
    <row r="134" spans="1:7" x14ac:dyDescent="0.25">
      <c r="A134" s="58" t="s">
        <v>485</v>
      </c>
      <c r="B134" s="47" t="s">
        <v>419</v>
      </c>
      <c r="C134" s="40" t="s">
        <v>465</v>
      </c>
      <c r="D134" s="43" t="s">
        <v>486</v>
      </c>
      <c r="E134" s="87">
        <v>0</v>
      </c>
      <c r="F134" s="119"/>
      <c r="G134" s="119"/>
    </row>
    <row r="135" spans="1:7" x14ac:dyDescent="0.25">
      <c r="A135" s="59" t="s">
        <v>487</v>
      </c>
      <c r="B135" s="47" t="s">
        <v>419</v>
      </c>
      <c r="C135" s="51" t="s">
        <v>305</v>
      </c>
      <c r="D135" s="44" t="s">
        <v>488</v>
      </c>
      <c r="E135" s="87">
        <v>0</v>
      </c>
      <c r="F135" s="119"/>
      <c r="G135" s="119"/>
    </row>
    <row r="136" spans="1:7" x14ac:dyDescent="0.25">
      <c r="A136" s="59" t="s">
        <v>489</v>
      </c>
      <c r="B136" s="47" t="s">
        <v>419</v>
      </c>
      <c r="C136" s="51" t="s">
        <v>305</v>
      </c>
      <c r="D136" s="44" t="s">
        <v>490</v>
      </c>
      <c r="E136" s="87">
        <v>0</v>
      </c>
      <c r="F136" s="119"/>
      <c r="G136" s="119"/>
    </row>
    <row r="137" spans="1:7" x14ac:dyDescent="0.25">
      <c r="A137" s="59" t="s">
        <v>491</v>
      </c>
      <c r="B137" s="47" t="s">
        <v>419</v>
      </c>
      <c r="C137" s="51" t="s">
        <v>305</v>
      </c>
      <c r="D137" s="44" t="s">
        <v>492</v>
      </c>
      <c r="E137" s="87">
        <v>0</v>
      </c>
      <c r="F137" s="119"/>
      <c r="G137" s="119"/>
    </row>
    <row r="138" spans="1:7" x14ac:dyDescent="0.25">
      <c r="A138" s="59" t="s">
        <v>493</v>
      </c>
      <c r="B138" s="47" t="s">
        <v>419</v>
      </c>
      <c r="C138" s="51" t="s">
        <v>305</v>
      </c>
      <c r="D138" s="44" t="s">
        <v>494</v>
      </c>
      <c r="E138" s="87">
        <v>0</v>
      </c>
      <c r="F138" s="119"/>
      <c r="G138" s="119"/>
    </row>
    <row r="139" spans="1:7" x14ac:dyDescent="0.25">
      <c r="A139" s="59" t="s">
        <v>495</v>
      </c>
      <c r="B139" s="47" t="s">
        <v>419</v>
      </c>
      <c r="C139" s="40" t="s">
        <v>306</v>
      </c>
      <c r="D139" s="45"/>
      <c r="E139" s="87">
        <v>10</v>
      </c>
      <c r="F139" s="119"/>
      <c r="G139" s="119"/>
    </row>
    <row r="140" spans="1:7" x14ac:dyDescent="0.25">
      <c r="A140" s="59" t="s">
        <v>496</v>
      </c>
      <c r="B140" s="47" t="s">
        <v>419</v>
      </c>
      <c r="C140" s="40" t="s">
        <v>306</v>
      </c>
      <c r="D140" s="44" t="s">
        <v>497</v>
      </c>
      <c r="E140" s="87">
        <v>0</v>
      </c>
      <c r="F140" s="119"/>
      <c r="G140" s="119"/>
    </row>
    <row r="141" spans="1:7" x14ac:dyDescent="0.25">
      <c r="A141" s="59" t="s">
        <v>498</v>
      </c>
      <c r="B141" s="47" t="s">
        <v>419</v>
      </c>
      <c r="C141" s="40" t="s">
        <v>306</v>
      </c>
      <c r="D141" s="44" t="s">
        <v>499</v>
      </c>
      <c r="E141" s="87">
        <v>0</v>
      </c>
      <c r="F141" s="119"/>
      <c r="G141" s="119"/>
    </row>
    <row r="142" spans="1:7" x14ac:dyDescent="0.25">
      <c r="A142" s="59" t="s">
        <v>500</v>
      </c>
      <c r="B142" s="47" t="s">
        <v>419</v>
      </c>
      <c r="C142" s="40" t="s">
        <v>306</v>
      </c>
      <c r="D142" s="44" t="s">
        <v>501</v>
      </c>
      <c r="E142" s="87">
        <v>0</v>
      </c>
      <c r="F142" s="119"/>
      <c r="G142" s="119"/>
    </row>
    <row r="143" spans="1:7" x14ac:dyDescent="0.25">
      <c r="A143" s="59" t="s">
        <v>464</v>
      </c>
      <c r="B143" s="47" t="s">
        <v>419</v>
      </c>
      <c r="C143" s="40" t="s">
        <v>306</v>
      </c>
      <c r="D143" s="44" t="s">
        <v>466</v>
      </c>
      <c r="E143" s="87">
        <v>1</v>
      </c>
      <c r="F143" s="119"/>
      <c r="G143" s="119"/>
    </row>
    <row r="144" spans="1:7" x14ac:dyDescent="0.25">
      <c r="A144" s="59" t="s">
        <v>467</v>
      </c>
      <c r="B144" s="47" t="s">
        <v>419</v>
      </c>
      <c r="C144" s="40" t="s">
        <v>306</v>
      </c>
      <c r="D144" s="44" t="s">
        <v>468</v>
      </c>
      <c r="E144" s="87">
        <v>0</v>
      </c>
      <c r="F144" s="119"/>
      <c r="G144" s="119"/>
    </row>
    <row r="145" spans="1:7" x14ac:dyDescent="0.25">
      <c r="A145" s="59" t="s">
        <v>502</v>
      </c>
      <c r="B145" s="47" t="s">
        <v>419</v>
      </c>
      <c r="C145" s="40" t="s">
        <v>307</v>
      </c>
      <c r="D145" s="48"/>
      <c r="E145" s="87">
        <v>1</v>
      </c>
      <c r="F145" s="119"/>
      <c r="G145" s="119"/>
    </row>
    <row r="146" spans="1:7" x14ac:dyDescent="0.25">
      <c r="A146" s="59" t="s">
        <v>503</v>
      </c>
      <c r="B146" s="47" t="s">
        <v>419</v>
      </c>
      <c r="C146" s="40" t="s">
        <v>307</v>
      </c>
      <c r="D146" s="41" t="s">
        <v>504</v>
      </c>
      <c r="E146" s="87">
        <v>0</v>
      </c>
      <c r="F146" s="119"/>
      <c r="G146" s="119"/>
    </row>
    <row r="147" spans="1:7" x14ac:dyDescent="0.25">
      <c r="A147" s="59" t="s">
        <v>505</v>
      </c>
      <c r="B147" s="47" t="s">
        <v>419</v>
      </c>
      <c r="C147" s="40" t="s">
        <v>307</v>
      </c>
      <c r="D147" s="41" t="s">
        <v>428</v>
      </c>
      <c r="E147" s="87">
        <v>0</v>
      </c>
      <c r="F147" s="119"/>
      <c r="G147" s="119"/>
    </row>
    <row r="148" spans="1:7" x14ac:dyDescent="0.25">
      <c r="A148" s="59" t="s">
        <v>506</v>
      </c>
      <c r="B148" s="47" t="s">
        <v>419</v>
      </c>
      <c r="C148" s="51" t="s">
        <v>308</v>
      </c>
      <c r="D148" s="44"/>
      <c r="E148" s="87">
        <v>0</v>
      </c>
      <c r="F148" s="119"/>
      <c r="G148" s="119"/>
    </row>
    <row r="149" spans="1:7" x14ac:dyDescent="0.25">
      <c r="A149" s="59" t="s">
        <v>507</v>
      </c>
      <c r="B149" s="47" t="s">
        <v>419</v>
      </c>
      <c r="C149" s="51" t="s">
        <v>308</v>
      </c>
      <c r="D149" s="44" t="s">
        <v>508</v>
      </c>
      <c r="E149" s="87">
        <v>0</v>
      </c>
      <c r="F149" s="119"/>
      <c r="G149" s="119"/>
    </row>
    <row r="150" spans="1:7" x14ac:dyDescent="0.25">
      <c r="A150" s="59" t="s">
        <v>509</v>
      </c>
      <c r="B150" s="47" t="s">
        <v>419</v>
      </c>
      <c r="C150" s="51" t="s">
        <v>308</v>
      </c>
      <c r="D150" s="44" t="s">
        <v>510</v>
      </c>
      <c r="E150" s="87">
        <v>0</v>
      </c>
      <c r="F150" s="119"/>
      <c r="G150" s="119"/>
    </row>
    <row r="151" spans="1:7" x14ac:dyDescent="0.25">
      <c r="A151" s="59" t="s">
        <v>511</v>
      </c>
      <c r="B151" s="47" t="s">
        <v>419</v>
      </c>
      <c r="C151" s="51" t="s">
        <v>308</v>
      </c>
      <c r="D151" s="44" t="s">
        <v>512</v>
      </c>
      <c r="E151" s="87">
        <v>0</v>
      </c>
      <c r="F151" s="119"/>
      <c r="G151" s="119"/>
    </row>
    <row r="152" spans="1:7" x14ac:dyDescent="0.25">
      <c r="A152" s="59" t="s">
        <v>513</v>
      </c>
      <c r="B152" s="47" t="s">
        <v>419</v>
      </c>
      <c r="C152" s="40" t="s">
        <v>309</v>
      </c>
      <c r="D152" s="45"/>
      <c r="E152" s="87">
        <v>16</v>
      </c>
      <c r="F152" s="119"/>
      <c r="G152" s="119"/>
    </row>
    <row r="153" spans="1:7" x14ac:dyDescent="0.25">
      <c r="A153" s="59" t="s">
        <v>514</v>
      </c>
      <c r="B153" s="47" t="s">
        <v>419</v>
      </c>
      <c r="C153" s="40" t="s">
        <v>309</v>
      </c>
      <c r="D153" s="44" t="s">
        <v>512</v>
      </c>
      <c r="E153" s="87">
        <v>0</v>
      </c>
      <c r="F153" s="119"/>
      <c r="G153" s="119"/>
    </row>
    <row r="154" spans="1:7" x14ac:dyDescent="0.25">
      <c r="A154" s="59" t="s">
        <v>515</v>
      </c>
      <c r="B154" s="47" t="s">
        <v>419</v>
      </c>
      <c r="C154" s="40" t="s">
        <v>309</v>
      </c>
      <c r="D154" s="44" t="s">
        <v>510</v>
      </c>
      <c r="E154" s="87">
        <v>1</v>
      </c>
      <c r="F154" s="119"/>
      <c r="G154" s="119"/>
    </row>
    <row r="155" spans="1:7" x14ac:dyDescent="0.25">
      <c r="A155" s="59" t="s">
        <v>516</v>
      </c>
      <c r="B155" s="47" t="s">
        <v>419</v>
      </c>
      <c r="C155" s="40" t="s">
        <v>309</v>
      </c>
      <c r="D155" s="44" t="s">
        <v>517</v>
      </c>
      <c r="E155" s="87">
        <v>0</v>
      </c>
      <c r="F155" s="119"/>
      <c r="G155" s="119"/>
    </row>
    <row r="156" spans="1:7" x14ac:dyDescent="0.25">
      <c r="A156" s="59" t="s">
        <v>518</v>
      </c>
      <c r="B156" s="47" t="s">
        <v>419</v>
      </c>
      <c r="C156" s="40" t="s">
        <v>309</v>
      </c>
      <c r="D156" s="44" t="s">
        <v>519</v>
      </c>
      <c r="E156" s="87">
        <v>0</v>
      </c>
      <c r="F156" s="119"/>
      <c r="G156" s="119"/>
    </row>
    <row r="157" spans="1:7" x14ac:dyDescent="0.25">
      <c r="A157" s="56" t="s">
        <v>520</v>
      </c>
      <c r="B157" s="47" t="s">
        <v>419</v>
      </c>
      <c r="C157" s="52" t="s">
        <v>521</v>
      </c>
      <c r="D157" s="48" t="s">
        <v>423</v>
      </c>
      <c r="E157" s="87">
        <v>0</v>
      </c>
      <c r="F157" s="119"/>
      <c r="G157" s="119"/>
    </row>
    <row r="158" spans="1:7" x14ac:dyDescent="0.25">
      <c r="A158" s="56" t="s">
        <v>522</v>
      </c>
      <c r="B158" s="47" t="s">
        <v>419</v>
      </c>
      <c r="C158" s="51" t="s">
        <v>523</v>
      </c>
      <c r="D158" s="48" t="s">
        <v>524</v>
      </c>
      <c r="E158" s="87">
        <v>0</v>
      </c>
      <c r="F158" s="119"/>
      <c r="G158" s="119"/>
    </row>
    <row r="159" spans="1:7" x14ac:dyDescent="0.25">
      <c r="A159" s="56" t="s">
        <v>525</v>
      </c>
      <c r="B159" s="47" t="s">
        <v>419</v>
      </c>
      <c r="C159" s="51" t="s">
        <v>523</v>
      </c>
      <c r="D159" s="48" t="s">
        <v>421</v>
      </c>
      <c r="E159" s="87">
        <v>0</v>
      </c>
      <c r="F159" s="119"/>
      <c r="G159" s="119"/>
    </row>
    <row r="160" spans="1:7" x14ac:dyDescent="0.25">
      <c r="A160" s="56" t="s">
        <v>526</v>
      </c>
      <c r="B160" s="47" t="s">
        <v>419</v>
      </c>
      <c r="C160" s="51" t="s">
        <v>312</v>
      </c>
      <c r="D160" s="45"/>
      <c r="E160" s="87">
        <v>0</v>
      </c>
      <c r="F160" s="119"/>
      <c r="G160" s="119"/>
    </row>
    <row r="161" spans="1:7" x14ac:dyDescent="0.25">
      <c r="A161" s="56" t="s">
        <v>527</v>
      </c>
      <c r="B161" s="47" t="s">
        <v>419</v>
      </c>
      <c r="C161" s="51" t="s">
        <v>312</v>
      </c>
      <c r="D161" s="48" t="s">
        <v>528</v>
      </c>
      <c r="E161" s="87">
        <v>0</v>
      </c>
      <c r="F161" s="119"/>
      <c r="G161" s="119"/>
    </row>
    <row r="162" spans="1:7" x14ac:dyDescent="0.25">
      <c r="A162" s="56" t="s">
        <v>529</v>
      </c>
      <c r="B162" s="47" t="s">
        <v>419</v>
      </c>
      <c r="C162" s="52" t="s">
        <v>530</v>
      </c>
      <c r="D162" s="48" t="s">
        <v>528</v>
      </c>
      <c r="E162" s="87">
        <v>0</v>
      </c>
      <c r="F162" s="119"/>
      <c r="G162" s="119"/>
    </row>
    <row r="163" spans="1:7" x14ac:dyDescent="0.25">
      <c r="A163" s="56" t="s">
        <v>531</v>
      </c>
      <c r="B163" s="47" t="s">
        <v>419</v>
      </c>
      <c r="C163" s="51" t="s">
        <v>532</v>
      </c>
      <c r="D163" s="48" t="s">
        <v>428</v>
      </c>
      <c r="E163" s="87">
        <v>0</v>
      </c>
      <c r="F163" s="119"/>
      <c r="G163" s="119"/>
    </row>
    <row r="164" spans="1:7" x14ac:dyDescent="0.25">
      <c r="A164" s="56" t="s">
        <v>533</v>
      </c>
      <c r="B164" s="47" t="s">
        <v>419</v>
      </c>
      <c r="C164" s="51" t="s">
        <v>532</v>
      </c>
      <c r="D164" s="48" t="s">
        <v>430</v>
      </c>
      <c r="E164" s="87">
        <v>0</v>
      </c>
      <c r="F164" s="119"/>
      <c r="G164" s="119"/>
    </row>
    <row r="165" spans="1:7" ht="14.25" customHeight="1" x14ac:dyDescent="0.25">
      <c r="A165" s="56" t="s">
        <v>534</v>
      </c>
      <c r="B165" s="47" t="s">
        <v>419</v>
      </c>
      <c r="C165" s="52" t="s">
        <v>315</v>
      </c>
      <c r="D165" s="48" t="s">
        <v>433</v>
      </c>
      <c r="E165" s="87">
        <v>0</v>
      </c>
      <c r="F165" s="92"/>
      <c r="G165" s="92"/>
    </row>
    <row r="166" spans="1:7" x14ac:dyDescent="0.25">
      <c r="A166" s="56" t="s">
        <v>535</v>
      </c>
      <c r="B166" s="47" t="s">
        <v>419</v>
      </c>
      <c r="C166" s="52" t="s">
        <v>536</v>
      </c>
      <c r="D166" s="48" t="s">
        <v>537</v>
      </c>
      <c r="E166" s="87">
        <v>0</v>
      </c>
      <c r="F166" s="92"/>
      <c r="G166" s="92"/>
    </row>
    <row r="167" spans="1:7" x14ac:dyDescent="0.25">
      <c r="A167" s="56" t="s">
        <v>538</v>
      </c>
      <c r="B167" s="47" t="s">
        <v>419</v>
      </c>
      <c r="C167" s="51" t="s">
        <v>539</v>
      </c>
      <c r="D167" s="48" t="s">
        <v>537</v>
      </c>
      <c r="E167" s="87">
        <v>0</v>
      </c>
      <c r="F167" s="92"/>
      <c r="G167" s="92"/>
    </row>
    <row r="168" spans="1:7" x14ac:dyDescent="0.25">
      <c r="A168" s="56" t="s">
        <v>540</v>
      </c>
      <c r="B168" s="47" t="s">
        <v>419</v>
      </c>
      <c r="C168" s="51" t="s">
        <v>539</v>
      </c>
      <c r="D168" s="48" t="s">
        <v>541</v>
      </c>
      <c r="E168" s="87">
        <v>0</v>
      </c>
      <c r="F168" s="92"/>
      <c r="G168" s="92"/>
    </row>
    <row r="169" spans="1:7" x14ac:dyDescent="0.25">
      <c r="A169" s="56" t="s">
        <v>542</v>
      </c>
      <c r="B169" s="47" t="s">
        <v>419</v>
      </c>
      <c r="C169" s="51" t="s">
        <v>318</v>
      </c>
      <c r="D169" s="48" t="s">
        <v>543</v>
      </c>
      <c r="E169" s="87">
        <v>0</v>
      </c>
      <c r="F169" s="92"/>
      <c r="G169" s="92"/>
    </row>
    <row r="170" spans="1:7" x14ac:dyDescent="0.25">
      <c r="A170" s="56" t="s">
        <v>544</v>
      </c>
      <c r="B170" s="47" t="s">
        <v>419</v>
      </c>
      <c r="C170" s="51" t="s">
        <v>318</v>
      </c>
      <c r="D170" s="48" t="s">
        <v>545</v>
      </c>
      <c r="E170" s="87">
        <v>0</v>
      </c>
      <c r="F170" s="92"/>
      <c r="G170" s="92"/>
    </row>
    <row r="171" spans="1:7" x14ac:dyDescent="0.25">
      <c r="A171" s="56" t="s">
        <v>546</v>
      </c>
      <c r="B171" s="47" t="s">
        <v>419</v>
      </c>
      <c r="C171" s="52" t="s">
        <v>547</v>
      </c>
      <c r="D171" s="48" t="s">
        <v>430</v>
      </c>
      <c r="E171" s="87">
        <v>0</v>
      </c>
      <c r="F171" s="92"/>
      <c r="G171" s="92"/>
    </row>
    <row r="172" spans="1:7" x14ac:dyDescent="0.25">
      <c r="A172" s="56" t="s">
        <v>548</v>
      </c>
      <c r="B172" s="47" t="s">
        <v>419</v>
      </c>
      <c r="C172" s="51" t="s">
        <v>549</v>
      </c>
      <c r="D172" s="48" t="s">
        <v>423</v>
      </c>
      <c r="E172" s="87">
        <v>0</v>
      </c>
      <c r="F172" s="92"/>
      <c r="G172" s="92"/>
    </row>
    <row r="173" spans="1:7" x14ac:dyDescent="0.25">
      <c r="A173" s="56" t="s">
        <v>550</v>
      </c>
      <c r="B173" s="47" t="s">
        <v>419</v>
      </c>
      <c r="C173" s="51" t="s">
        <v>549</v>
      </c>
      <c r="D173" s="48" t="s">
        <v>551</v>
      </c>
      <c r="E173" s="87">
        <v>0</v>
      </c>
      <c r="F173" s="92"/>
      <c r="G173" s="92"/>
    </row>
    <row r="174" spans="1:7" x14ac:dyDescent="0.25">
      <c r="A174" s="56" t="s">
        <v>552</v>
      </c>
      <c r="B174" s="47" t="s">
        <v>419</v>
      </c>
      <c r="C174" s="51" t="s">
        <v>553</v>
      </c>
      <c r="D174" s="48" t="s">
        <v>524</v>
      </c>
      <c r="E174" s="87">
        <v>0</v>
      </c>
      <c r="F174" s="92"/>
      <c r="G174" s="92"/>
    </row>
    <row r="175" spans="1:7" x14ac:dyDescent="0.25">
      <c r="A175" s="56" t="s">
        <v>554</v>
      </c>
      <c r="B175" s="47" t="s">
        <v>419</v>
      </c>
      <c r="C175" s="51" t="s">
        <v>553</v>
      </c>
      <c r="D175" s="48" t="s">
        <v>555</v>
      </c>
      <c r="E175" s="87">
        <v>0</v>
      </c>
      <c r="F175" s="92"/>
      <c r="G175" s="92"/>
    </row>
    <row r="176" spans="1:7" x14ac:dyDescent="0.25">
      <c r="A176" s="56" t="s">
        <v>556</v>
      </c>
      <c r="B176" s="47" t="s">
        <v>419</v>
      </c>
      <c r="C176" s="51" t="s">
        <v>557</v>
      </c>
      <c r="D176" s="48" t="s">
        <v>524</v>
      </c>
      <c r="E176" s="87">
        <v>0</v>
      </c>
      <c r="F176" s="92"/>
      <c r="G176" s="92"/>
    </row>
    <row r="177" spans="1:7" x14ac:dyDescent="0.25">
      <c r="A177" s="56" t="s">
        <v>558</v>
      </c>
      <c r="B177" s="47" t="s">
        <v>419</v>
      </c>
      <c r="C177" s="51" t="s">
        <v>557</v>
      </c>
      <c r="D177" s="48" t="s">
        <v>423</v>
      </c>
      <c r="E177" s="87">
        <v>0</v>
      </c>
      <c r="F177" s="92"/>
      <c r="G177" s="92"/>
    </row>
    <row r="178" spans="1:7" x14ac:dyDescent="0.25">
      <c r="A178" s="56" t="s">
        <v>559</v>
      </c>
      <c r="B178" s="47" t="s">
        <v>419</v>
      </c>
      <c r="C178" s="51" t="s">
        <v>323</v>
      </c>
      <c r="D178" s="48" t="s">
        <v>524</v>
      </c>
      <c r="E178" s="87">
        <v>0</v>
      </c>
      <c r="F178" s="92"/>
      <c r="G178" s="92"/>
    </row>
    <row r="179" spans="1:7" x14ac:dyDescent="0.25">
      <c r="A179" s="56" t="s">
        <v>560</v>
      </c>
      <c r="B179" s="47" t="s">
        <v>419</v>
      </c>
      <c r="C179" s="51" t="s">
        <v>323</v>
      </c>
      <c r="D179" s="48" t="s">
        <v>423</v>
      </c>
      <c r="E179" s="87">
        <v>0</v>
      </c>
      <c r="F179" s="92"/>
      <c r="G179" s="92"/>
    </row>
    <row r="180" spans="1:7" x14ac:dyDescent="0.25">
      <c r="A180" s="56" t="s">
        <v>561</v>
      </c>
      <c r="B180" s="47" t="s">
        <v>419</v>
      </c>
      <c r="C180" s="51" t="s">
        <v>324</v>
      </c>
      <c r="D180" s="48" t="s">
        <v>524</v>
      </c>
      <c r="E180" s="87">
        <v>0</v>
      </c>
      <c r="F180" s="92"/>
      <c r="G180" s="92"/>
    </row>
    <row r="181" spans="1:7" x14ac:dyDescent="0.25">
      <c r="A181" s="56" t="s">
        <v>562</v>
      </c>
      <c r="B181" s="47" t="s">
        <v>419</v>
      </c>
      <c r="C181" s="51" t="s">
        <v>324</v>
      </c>
      <c r="D181" s="48" t="s">
        <v>423</v>
      </c>
      <c r="E181" s="87">
        <v>0</v>
      </c>
      <c r="F181" s="92"/>
      <c r="G181" s="92"/>
    </row>
    <row r="182" spans="1:7" x14ac:dyDescent="0.25">
      <c r="A182" s="56" t="s">
        <v>563</v>
      </c>
      <c r="B182" s="47" t="s">
        <v>419</v>
      </c>
      <c r="C182" s="51" t="s">
        <v>564</v>
      </c>
      <c r="D182" s="48" t="s">
        <v>524</v>
      </c>
      <c r="E182" s="87">
        <v>0</v>
      </c>
      <c r="F182" s="92"/>
      <c r="G182" s="92"/>
    </row>
    <row r="183" spans="1:7" x14ac:dyDescent="0.25">
      <c r="A183" s="56" t="s">
        <v>565</v>
      </c>
      <c r="B183" s="47" t="s">
        <v>419</v>
      </c>
      <c r="C183" s="51" t="s">
        <v>564</v>
      </c>
      <c r="D183" s="48" t="s">
        <v>566</v>
      </c>
      <c r="E183" s="87">
        <v>0</v>
      </c>
      <c r="F183" s="92"/>
      <c r="G183" s="92"/>
    </row>
    <row r="184" spans="1:7" x14ac:dyDescent="0.25">
      <c r="A184" s="56" t="s">
        <v>567</v>
      </c>
      <c r="B184" s="47" t="s">
        <v>419</v>
      </c>
      <c r="C184" s="51" t="s">
        <v>568</v>
      </c>
      <c r="D184" s="48" t="s">
        <v>463</v>
      </c>
      <c r="E184" s="87">
        <v>0</v>
      </c>
      <c r="F184" s="92"/>
      <c r="G184" s="92"/>
    </row>
    <row r="185" spans="1:7" x14ac:dyDescent="0.25">
      <c r="A185" s="56" t="s">
        <v>569</v>
      </c>
      <c r="B185" s="47" t="s">
        <v>419</v>
      </c>
      <c r="C185" s="51" t="s">
        <v>568</v>
      </c>
      <c r="D185" s="48" t="s">
        <v>570</v>
      </c>
      <c r="E185" s="87">
        <v>0</v>
      </c>
      <c r="F185" s="92"/>
      <c r="G185" s="92"/>
    </row>
    <row r="186" spans="1:7" x14ac:dyDescent="0.25">
      <c r="A186" s="56" t="s">
        <v>571</v>
      </c>
      <c r="B186" s="47" t="s">
        <v>419</v>
      </c>
      <c r="C186" s="51" t="s">
        <v>572</v>
      </c>
      <c r="D186" s="48" t="s">
        <v>501</v>
      </c>
      <c r="E186" s="87">
        <v>0</v>
      </c>
      <c r="F186" s="92"/>
      <c r="G186" s="92"/>
    </row>
    <row r="187" spans="1:7" x14ac:dyDescent="0.25">
      <c r="A187" s="56" t="s">
        <v>573</v>
      </c>
      <c r="B187" s="47" t="s">
        <v>419</v>
      </c>
      <c r="C187" s="51" t="s">
        <v>572</v>
      </c>
      <c r="D187" s="48" t="s">
        <v>499</v>
      </c>
      <c r="E187" s="87">
        <v>0</v>
      </c>
      <c r="F187" s="92"/>
      <c r="G187" s="92"/>
    </row>
    <row r="188" spans="1:7" x14ac:dyDescent="0.25">
      <c r="A188" s="56" t="s">
        <v>574</v>
      </c>
      <c r="B188" s="47" t="s">
        <v>419</v>
      </c>
      <c r="C188" s="51" t="s">
        <v>572</v>
      </c>
      <c r="D188" s="48" t="s">
        <v>497</v>
      </c>
      <c r="E188" s="87">
        <v>0</v>
      </c>
      <c r="F188" s="92"/>
      <c r="G188" s="92"/>
    </row>
    <row r="189" spans="1:7" x14ac:dyDescent="0.25">
      <c r="A189" s="56" t="s">
        <v>575</v>
      </c>
      <c r="B189" s="47" t="s">
        <v>419</v>
      </c>
      <c r="C189" s="51" t="s">
        <v>328</v>
      </c>
      <c r="D189" s="48" t="s">
        <v>576</v>
      </c>
      <c r="E189" s="87">
        <v>0</v>
      </c>
      <c r="F189" s="92"/>
      <c r="G189" s="92"/>
    </row>
    <row r="190" spans="1:7" x14ac:dyDescent="0.25">
      <c r="A190" s="56" t="s">
        <v>577</v>
      </c>
      <c r="B190" s="47" t="s">
        <v>419</v>
      </c>
      <c r="C190" s="51" t="s">
        <v>328</v>
      </c>
      <c r="D190" s="48" t="s">
        <v>578</v>
      </c>
      <c r="E190" s="87">
        <v>0</v>
      </c>
      <c r="F190" s="92"/>
      <c r="G190" s="92"/>
    </row>
    <row r="191" spans="1:7" x14ac:dyDescent="0.25">
      <c r="A191" s="56" t="s">
        <v>579</v>
      </c>
      <c r="B191" s="47" t="s">
        <v>419</v>
      </c>
      <c r="C191" s="51" t="s">
        <v>580</v>
      </c>
      <c r="D191" s="48" t="s">
        <v>581</v>
      </c>
      <c r="E191" s="87">
        <v>1</v>
      </c>
      <c r="F191" s="92"/>
      <c r="G191" s="92"/>
    </row>
    <row r="192" spans="1:7" x14ac:dyDescent="0.25">
      <c r="A192" s="56" t="s">
        <v>582</v>
      </c>
      <c r="B192" s="47" t="s">
        <v>419</v>
      </c>
      <c r="C192" s="51" t="s">
        <v>580</v>
      </c>
      <c r="D192" s="48" t="s">
        <v>583</v>
      </c>
      <c r="E192" s="87">
        <v>0</v>
      </c>
      <c r="F192" s="92"/>
      <c r="G192" s="92"/>
    </row>
    <row r="193" spans="1:7" ht="15.75" thickBot="1" x14ac:dyDescent="0.3">
      <c r="A193" s="60" t="s">
        <v>584</v>
      </c>
      <c r="B193" s="53" t="s">
        <v>419</v>
      </c>
      <c r="C193" s="54" t="s">
        <v>580</v>
      </c>
      <c r="D193" s="55" t="s">
        <v>585</v>
      </c>
      <c r="E193" s="87">
        <v>0</v>
      </c>
      <c r="F193" s="92"/>
      <c r="G193" s="92"/>
    </row>
    <row r="194" spans="1:7" x14ac:dyDescent="0.25">
      <c r="A194" s="46"/>
      <c r="B194" s="46"/>
      <c r="C194" s="46"/>
    </row>
  </sheetData>
  <mergeCells count="24">
    <mergeCell ref="E9:E42"/>
    <mergeCell ref="M7:P7"/>
    <mergeCell ref="A59:D59"/>
    <mergeCell ref="A1:C1"/>
    <mergeCell ref="A2:C2"/>
    <mergeCell ref="A5:C5"/>
    <mergeCell ref="A46:C46"/>
    <mergeCell ref="A8:C8"/>
    <mergeCell ref="A43:C43"/>
    <mergeCell ref="F131:G164"/>
    <mergeCell ref="S7:V7"/>
    <mergeCell ref="S8:T9"/>
    <mergeCell ref="U8:V8"/>
    <mergeCell ref="U9:V9"/>
    <mergeCell ref="M8:N9"/>
    <mergeCell ref="O8:P8"/>
    <mergeCell ref="O9:P9"/>
    <mergeCell ref="F9:G42"/>
    <mergeCell ref="F45:G45"/>
    <mergeCell ref="Y7:AB7"/>
    <mergeCell ref="Y8:Z9"/>
    <mergeCell ref="AA8:AB8"/>
    <mergeCell ref="AA9:AB9"/>
    <mergeCell ref="F97:G130"/>
  </mergeCells>
  <conditionalFormatting sqref="F165:G193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CAD</vt:lpstr>
      <vt:lpstr>Fracture</vt:lpstr>
      <vt:lpstr>Hypertension</vt:lpstr>
      <vt:lpstr>IS</vt:lpstr>
      <vt:lpstr>MI</vt:lpstr>
      <vt:lpstr>T2DM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Alcalde-Herraiz</dc:creator>
  <cp:lastModifiedBy>Marta Alcalde-Herraiz</cp:lastModifiedBy>
  <dcterms:created xsi:type="dcterms:W3CDTF">2015-06-05T18:17:20Z</dcterms:created>
  <dcterms:modified xsi:type="dcterms:W3CDTF">2023-03-30T09:11:00Z</dcterms:modified>
</cp:coreProperties>
</file>