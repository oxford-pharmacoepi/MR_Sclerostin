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UK_Biobank_dataset\vers7\Sclerostin_vs_CVD_MR\SensitivityAnalysis\LeaveOneOut\"/>
    </mc:Choice>
  </mc:AlternateContent>
  <xr:revisionPtr revIDLastSave="0" documentId="13_ncr:1_{23CEE3E0-4478-49DC-9503-0B65B9CAA615}" xr6:coauthVersionLast="47" xr6:coauthVersionMax="47" xr10:uidLastSave="{00000000-0000-0000-0000-000000000000}"/>
  <bookViews>
    <workbookView xWindow="225" yWindow="810" windowWidth="21600" windowHeight="12735" xr2:uid="{00000000-000D-0000-FFFF-FFFF0000000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1" l="1"/>
  <c r="K70" i="1"/>
  <c r="K69" i="1"/>
  <c r="K68" i="1"/>
  <c r="K67" i="1"/>
  <c r="J71" i="1"/>
  <c r="J70" i="1"/>
  <c r="J69" i="1"/>
  <c r="J68" i="1"/>
  <c r="J67" i="1"/>
  <c r="J66" i="1"/>
  <c r="K66" i="1"/>
  <c r="K65" i="1"/>
  <c r="J65" i="1"/>
  <c r="J64" i="1"/>
  <c r="J63" i="1"/>
  <c r="J62" i="1"/>
  <c r="J61" i="1"/>
  <c r="J60" i="1"/>
  <c r="J59" i="1"/>
  <c r="J58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J57" i="1"/>
  <c r="J56" i="1"/>
  <c r="J55" i="1"/>
  <c r="J54" i="1"/>
  <c r="J53" i="1"/>
  <c r="J52" i="1"/>
  <c r="J51" i="1"/>
  <c r="K50" i="1"/>
  <c r="K49" i="1"/>
  <c r="K48" i="1"/>
  <c r="K47" i="1"/>
  <c r="K46" i="1"/>
  <c r="K45" i="1"/>
  <c r="K44" i="1"/>
  <c r="J50" i="1"/>
  <c r="J49" i="1"/>
  <c r="J48" i="1"/>
  <c r="J47" i="1"/>
  <c r="J46" i="1"/>
  <c r="J45" i="1"/>
  <c r="J44" i="1"/>
  <c r="K43" i="1"/>
  <c r="K42" i="1"/>
  <c r="K41" i="1"/>
  <c r="K40" i="1"/>
  <c r="K39" i="1"/>
  <c r="K38" i="1"/>
  <c r="K37" i="1"/>
  <c r="J43" i="1"/>
  <c r="J42" i="1"/>
  <c r="J41" i="1"/>
  <c r="J40" i="1"/>
  <c r="J39" i="1"/>
  <c r="J38" i="1"/>
  <c r="J37" i="1"/>
  <c r="K36" i="1"/>
  <c r="K35" i="1"/>
  <c r="K34" i="1"/>
  <c r="K33" i="1"/>
  <c r="K32" i="1"/>
  <c r="K31" i="1"/>
  <c r="K30" i="1"/>
  <c r="J36" i="1"/>
  <c r="J35" i="1"/>
  <c r="J34" i="1"/>
  <c r="J33" i="1"/>
  <c r="J32" i="1"/>
  <c r="J31" i="1"/>
  <c r="J30" i="1"/>
  <c r="K29" i="1"/>
  <c r="K28" i="1"/>
  <c r="K27" i="1"/>
  <c r="K26" i="1"/>
  <c r="K25" i="1"/>
  <c r="K24" i="1"/>
  <c r="K23" i="1"/>
  <c r="J29" i="1"/>
  <c r="J28" i="1"/>
  <c r="J27" i="1"/>
  <c r="J26" i="1"/>
  <c r="J25" i="1"/>
  <c r="J24" i="1"/>
  <c r="J23" i="1"/>
  <c r="K22" i="1"/>
  <c r="K21" i="1"/>
  <c r="K20" i="1"/>
  <c r="K19" i="1"/>
  <c r="K18" i="1"/>
  <c r="K17" i="1"/>
  <c r="K16" i="1"/>
  <c r="J22" i="1"/>
  <c r="J21" i="1"/>
  <c r="J20" i="1"/>
  <c r="J19" i="1"/>
  <c r="J17" i="1"/>
  <c r="J18" i="1"/>
  <c r="J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15" i="1"/>
  <c r="J14" i="1"/>
  <c r="J13" i="1"/>
  <c r="J11" i="1"/>
  <c r="J12" i="1"/>
  <c r="J10" i="1"/>
  <c r="J9" i="1"/>
  <c r="J8" i="1"/>
  <c r="J7" i="1"/>
  <c r="J6" i="1"/>
  <c r="J5" i="1"/>
  <c r="J3" i="1"/>
  <c r="J4" i="1"/>
  <c r="E2" i="1"/>
  <c r="D2" i="1"/>
  <c r="J2" i="1"/>
  <c r="D40" i="1"/>
  <c r="E49" i="1"/>
  <c r="E48" i="1"/>
  <c r="E47" i="1"/>
  <c r="E46" i="1"/>
  <c r="E45" i="1"/>
  <c r="E44" i="1"/>
  <c r="D49" i="1"/>
  <c r="D48" i="1"/>
  <c r="D47" i="1"/>
  <c r="D46" i="1"/>
  <c r="D45" i="1"/>
  <c r="D44" i="1"/>
  <c r="E43" i="1"/>
  <c r="E42" i="1"/>
  <c r="E41" i="1"/>
  <c r="E40" i="1"/>
  <c r="E39" i="1"/>
  <c r="E38" i="1"/>
  <c r="E37" i="1"/>
  <c r="D43" i="1"/>
  <c r="D42" i="1"/>
  <c r="D41" i="1"/>
  <c r="D39" i="1"/>
  <c r="D38" i="1"/>
  <c r="D37" i="1"/>
  <c r="E36" i="1"/>
  <c r="E35" i="1"/>
  <c r="E34" i="1"/>
  <c r="E33" i="1"/>
  <c r="E32" i="1"/>
  <c r="E31" i="1"/>
  <c r="E30" i="1"/>
  <c r="D36" i="1"/>
  <c r="D35" i="1"/>
  <c r="D34" i="1"/>
  <c r="D33" i="1"/>
  <c r="D32" i="1"/>
  <c r="D31" i="1"/>
  <c r="D30" i="1"/>
  <c r="E27" i="1"/>
  <c r="E26" i="1"/>
  <c r="E25" i="1"/>
  <c r="E24" i="1"/>
  <c r="E28" i="1"/>
  <c r="E29" i="1"/>
  <c r="E23" i="1"/>
  <c r="D29" i="1"/>
  <c r="D28" i="1"/>
  <c r="D27" i="1"/>
  <c r="D26" i="1"/>
  <c r="D25" i="1"/>
  <c r="D24" i="1"/>
  <c r="D23" i="1"/>
  <c r="E22" i="1"/>
  <c r="E21" i="1"/>
  <c r="E20" i="1"/>
  <c r="E19" i="1"/>
  <c r="E18" i="1"/>
  <c r="E17" i="1"/>
  <c r="E16" i="1"/>
  <c r="D22" i="1"/>
  <c r="D21" i="1"/>
  <c r="D20" i="1"/>
  <c r="D19" i="1"/>
  <c r="D18" i="1"/>
  <c r="D17" i="1"/>
  <c r="D16" i="1"/>
  <c r="E15" i="1"/>
  <c r="E14" i="1"/>
  <c r="E13" i="1"/>
  <c r="E12" i="1"/>
  <c r="E11" i="1"/>
  <c r="E10" i="1"/>
  <c r="E9" i="1"/>
  <c r="D15" i="1"/>
  <c r="D14" i="1"/>
  <c r="D13" i="1"/>
  <c r="D12" i="1"/>
  <c r="D11" i="1"/>
  <c r="D10" i="1"/>
  <c r="D9" i="1"/>
  <c r="E8" i="1"/>
  <c r="E7" i="1"/>
  <c r="E6" i="1"/>
  <c r="E5" i="1"/>
  <c r="E4" i="1"/>
  <c r="E3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<sst xmlns="http://schemas.openxmlformats.org/spreadsheetml/2006/main" count="141" uniqueCount="28">
  <si>
    <t>All</t>
  </si>
  <si>
    <t>rs6503468</t>
  </si>
  <si>
    <t>rs9910625</t>
  </si>
  <si>
    <t>rs7220711</t>
  </si>
  <si>
    <t>rs66838809</t>
  </si>
  <si>
    <t>rs7213935</t>
  </si>
  <si>
    <t>rs80107551</t>
  </si>
  <si>
    <t>Heel bone mineral density</t>
  </si>
  <si>
    <t>gIVW</t>
  </si>
  <si>
    <t>Effect</t>
  </si>
  <si>
    <t>95%CI-High</t>
  </si>
  <si>
    <t>95%CI-Low</t>
  </si>
  <si>
    <t>Hip fracture</t>
  </si>
  <si>
    <t>Coronary artery disease</t>
  </si>
  <si>
    <t>Myocardial infarction</t>
  </si>
  <si>
    <t>Ischaemic stroke</t>
  </si>
  <si>
    <t>Hypertension</t>
  </si>
  <si>
    <t>Type II diabetes mellitus</t>
  </si>
  <si>
    <t>Cholesterol</t>
  </si>
  <si>
    <t>LDL</t>
  </si>
  <si>
    <t>HDL</t>
  </si>
  <si>
    <t>Triglycerides</t>
  </si>
  <si>
    <t>Apolipoprotein-A</t>
  </si>
  <si>
    <t>Apolipoprotein-B</t>
  </si>
  <si>
    <t>Lipoprotein (a)</t>
  </si>
  <si>
    <t>C-reactive protein</t>
  </si>
  <si>
    <t>HbA1c</t>
  </si>
  <si>
    <t>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</si>
</sst>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textRotation="90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textRotation="90" wrapText="1"/>
    </xf>
    <xf numFmtId="0" fontId="0" fillId="0" borderId="0" xfId="0" applyBorder="1"/>
    <xf numFmtId="0" fontId="0" fillId="0" borderId="6" xfId="0" applyBorder="1" applyAlignment="1">
      <alignment horizontal="center" vertical="center" textRotation="90" wrapText="1"/>
    </xf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horizontal="center" textRotation="90" wrapText="1"/>
    </xf>
    <xf numFmtId="0" fontId="0" fillId="0" borderId="4" xfId="0" applyBorder="1" applyAlignment="1">
      <alignment horizontal="center" textRotation="90" wrapText="1"/>
    </xf>
    <xf numFmtId="0" fontId="0" fillId="0" borderId="6" xfId="0" applyBorder="1" applyAlignment="1">
      <alignment horizontal="center" textRotation="90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1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2" fontId="0" fillId="0" borderId="12" xfId="0" applyNumberFormat="1" applyBorder="1"/>
  </cellXfs>
  <cellStyles count="1">
    <cellStyle name="Normal" xfId="0" builtinId="0"/>
  </cellStyles>
  <dxfs count="13">
    <dxf>
      <fill>
        <patternFill>
          <bgColor theme="9" tint="0.79998168889431442"/>
        </patternFill>
      </fill>
    </dxf>
    <dxf>
      <font>
        <color theme="1"/>
      </font>
      <fill>
        <patternFill>
          <bgColor rgb="FFFFCC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CCCC"/>
        </patternFill>
      </fill>
    </dxf>
    <dxf>
      <font>
        <color theme="1"/>
      </font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AFAF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AFAF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AFAF"/>
        </patternFill>
      </fill>
    </dxf>
  </dxfs>
  <tableStyles count="0" defaultTableStyle="TableStyleMedium2" defaultPivotStyle="PivotStyleLight16"/>
  <colors>
    <mruColors>
      <color rgb="FFFFCCCC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34" workbookViewId="0">
      <selection activeCell="H38" sqref="H38"/>
    </sheetView>
  </sheetViews>
  <sheetFormatPr defaultRowHeight="15" x14ac:dyDescent="0.25"/>
  <cols>
    <col min="4" max="4" width="12.140625" customWidth="1"/>
    <col min="5" max="6" width="11.85546875" customWidth="1"/>
  </cols>
  <sheetData>
    <row r="1" spans="1:11" ht="15.75" thickBot="1" x14ac:dyDescent="0.3">
      <c r="C1" s="12" t="s">
        <v>9</v>
      </c>
      <c r="D1" s="13" t="s">
        <v>11</v>
      </c>
      <c r="E1" s="14" t="s">
        <v>10</v>
      </c>
      <c r="F1" s="5"/>
      <c r="I1" s="8" t="s">
        <v>9</v>
      </c>
      <c r="J1" s="2" t="s">
        <v>11</v>
      </c>
      <c r="K1" s="3" t="s">
        <v>10</v>
      </c>
    </row>
    <row r="2" spans="1:11" x14ac:dyDescent="0.25">
      <c r="A2" s="1" t="s">
        <v>7</v>
      </c>
      <c r="B2" s="2" t="s">
        <v>8</v>
      </c>
      <c r="C2" s="15">
        <v>0.81507270190661663</v>
      </c>
      <c r="D2" s="15">
        <f>C2-1.96*0.0885806026098899</f>
        <v>0.64145472079123245</v>
      </c>
      <c r="E2" s="16">
        <f>C2+1.96*0.0885806026098899</f>
        <v>0.9886906830220008</v>
      </c>
      <c r="F2" s="24"/>
      <c r="G2" s="1" t="s">
        <v>18</v>
      </c>
      <c r="H2" s="2" t="s">
        <v>0</v>
      </c>
      <c r="I2" s="15">
        <v>3.3961901769024097E-2</v>
      </c>
      <c r="J2" s="15">
        <f>I2-1.96*0.0176599775538914</f>
        <v>-6.5165423660304422E-4</v>
      </c>
      <c r="K2" s="16">
        <f>I2+1.96*0.0176599775538914</f>
        <v>6.8575457774651238E-2</v>
      </c>
    </row>
    <row r="3" spans="1:11" x14ac:dyDescent="0.25">
      <c r="A3" s="4"/>
      <c r="B3" s="5" t="s">
        <v>1</v>
      </c>
      <c r="C3" s="17">
        <v>0.95895798213945804</v>
      </c>
      <c r="D3" s="17">
        <f>C3-1.96*0.04754685663503</f>
        <v>0.86576614313479927</v>
      </c>
      <c r="E3" s="18">
        <f>C3+1.96*0.04754685663503</f>
        <v>1.0521498211441169</v>
      </c>
      <c r="F3" s="24"/>
      <c r="G3" s="4"/>
      <c r="H3" s="5" t="s">
        <v>1</v>
      </c>
      <c r="I3" s="17">
        <v>3.5624038703199377E-2</v>
      </c>
      <c r="J3" s="17">
        <f>I3-1.96*0.024419971184264</f>
        <v>-1.2239104817958056E-2</v>
      </c>
      <c r="K3" s="18">
        <f>I3+1.96*0.024419971184264</f>
        <v>8.3487182224356804E-2</v>
      </c>
    </row>
    <row r="4" spans="1:11" x14ac:dyDescent="0.25">
      <c r="A4" s="4"/>
      <c r="B4" s="5" t="s">
        <v>2</v>
      </c>
      <c r="C4" s="17">
        <v>0.92916442124180898</v>
      </c>
      <c r="D4" s="17">
        <f>C4-1.96*0.13518366778579</f>
        <v>0.6642044323816606</v>
      </c>
      <c r="E4" s="18">
        <f>C4+1.96*0.13518366778579</f>
        <v>1.1941244101019572</v>
      </c>
      <c r="F4" s="24"/>
      <c r="G4" s="4"/>
      <c r="H4" s="5" t="s">
        <v>2</v>
      </c>
      <c r="I4" s="17">
        <v>1.7745454502252813E-2</v>
      </c>
      <c r="J4" s="17">
        <f>I4-1.96*0.0265744876766985</f>
        <v>-3.4340541344076242E-2</v>
      </c>
      <c r="K4" s="18">
        <f>I4+1.96*0.0265744876766985</f>
        <v>6.9831450348581875E-2</v>
      </c>
    </row>
    <row r="5" spans="1:11" x14ac:dyDescent="0.25">
      <c r="A5" s="4"/>
      <c r="B5" s="5" t="s">
        <v>3</v>
      </c>
      <c r="C5" s="17">
        <v>0.68366007454612998</v>
      </c>
      <c r="D5" s="17">
        <f>C5-1.96*0.0824363946242794</f>
        <v>0.52208474108254233</v>
      </c>
      <c r="E5" s="18">
        <f>C5+1.96*0.0824363946242794</f>
        <v>0.84523540800971764</v>
      </c>
      <c r="F5" s="24"/>
      <c r="G5" s="4"/>
      <c r="H5" s="5" t="s">
        <v>3</v>
      </c>
      <c r="I5" s="17">
        <v>1.7433381985390444E-2</v>
      </c>
      <c r="J5" s="17">
        <f>I5-1.96*0.0216865839861155</f>
        <v>-2.5072322627395938E-2</v>
      </c>
      <c r="K5" s="18">
        <f>I5+1.96*0.0216865839861155</f>
        <v>5.993908659817683E-2</v>
      </c>
    </row>
    <row r="6" spans="1:11" x14ac:dyDescent="0.25">
      <c r="A6" s="4"/>
      <c r="B6" s="5" t="s">
        <v>4</v>
      </c>
      <c r="C6" s="17">
        <v>0.81456225612409539</v>
      </c>
      <c r="D6" s="17">
        <f>C6-1.96*0.099166393079576</f>
        <v>0.62019612568812643</v>
      </c>
      <c r="E6" s="18">
        <f>C6+1.96*0.099166393079576</f>
        <v>1.0089283865600644</v>
      </c>
      <c r="F6" s="24"/>
      <c r="G6" s="4"/>
      <c r="H6" s="5" t="s">
        <v>4</v>
      </c>
      <c r="I6" s="17">
        <v>3.4425901855355635E-2</v>
      </c>
      <c r="J6" s="17">
        <f>I6-1.96*0.0199101801786202</f>
        <v>-4.5980512947399604E-3</v>
      </c>
      <c r="K6" s="18">
        <f>I6+1.96*0.0199101801786202</f>
        <v>7.3449855005451231E-2</v>
      </c>
    </row>
    <row r="7" spans="1:11" x14ac:dyDescent="0.25">
      <c r="A7" s="4"/>
      <c r="B7" s="5" t="s">
        <v>5</v>
      </c>
      <c r="C7" s="17">
        <v>0.74368772704438046</v>
      </c>
      <c r="D7" s="17">
        <f>C7-1.96*0.083124122529983</f>
        <v>0.58076444688561379</v>
      </c>
      <c r="E7" s="18">
        <f>C7+1.96*0.083124122529983</f>
        <v>0.90661100720314713</v>
      </c>
      <c r="F7" s="24"/>
      <c r="G7" s="4"/>
      <c r="H7" s="5" t="s">
        <v>5</v>
      </c>
      <c r="I7" s="17">
        <v>2.9105102044951342E-2</v>
      </c>
      <c r="J7" s="17">
        <f>I7-1.96*0.0214152342127067</f>
        <v>-1.2868757011953794E-2</v>
      </c>
      <c r="K7" s="18">
        <f>I7+1.96*0.0214152342127067</f>
        <v>7.1078961101856478E-2</v>
      </c>
    </row>
    <row r="8" spans="1:11" ht="15.75" thickBot="1" x14ac:dyDescent="0.3">
      <c r="A8" s="6"/>
      <c r="B8" s="7" t="s">
        <v>6</v>
      </c>
      <c r="C8" s="19">
        <v>0.81200531808379206</v>
      </c>
      <c r="D8" s="19">
        <f>C8-1.96*0.0963410505351087</f>
        <v>0.62317685903497899</v>
      </c>
      <c r="E8" s="20">
        <f>C8+1.96*0.0963410505351087</f>
        <v>1.000833777132605</v>
      </c>
      <c r="F8" s="24"/>
      <c r="G8" s="6"/>
      <c r="H8" s="7" t="s">
        <v>6</v>
      </c>
      <c r="I8" s="19">
        <v>3.7282873655624105E-2</v>
      </c>
      <c r="J8" s="19">
        <f>I8-1.96*0.0138925389508733</f>
        <v>1.0053497311912438E-2</v>
      </c>
      <c r="K8" s="20">
        <f>I8+1.96*0.0138925389508733</f>
        <v>6.4512249999335775E-2</v>
      </c>
    </row>
    <row r="9" spans="1:11" x14ac:dyDescent="0.25">
      <c r="A9" s="1" t="s">
        <v>12</v>
      </c>
      <c r="B9" s="2" t="s">
        <v>8</v>
      </c>
      <c r="C9" s="15">
        <v>-1.4015776287277675</v>
      </c>
      <c r="D9" s="15">
        <f>C9-1.96*0.177829709677154</f>
        <v>-1.7501238596949893</v>
      </c>
      <c r="E9" s="16">
        <f>C9+1.96*0.177829709677154</f>
        <v>-1.0530313977605457</v>
      </c>
      <c r="F9" s="17"/>
      <c r="G9" s="21" t="s">
        <v>19</v>
      </c>
      <c r="H9" s="2" t="s">
        <v>0</v>
      </c>
      <c r="I9" s="15">
        <v>5.5697699229792189E-2</v>
      </c>
      <c r="J9" s="15">
        <f>I9-1.96*0.0238287973234126</f>
        <v>8.9932564759034883E-3</v>
      </c>
      <c r="K9" s="16">
        <f>I9+1.96*0.0238287973234126</f>
        <v>0.10240214198368089</v>
      </c>
    </row>
    <row r="10" spans="1:11" x14ac:dyDescent="0.25">
      <c r="A10" s="4"/>
      <c r="B10" s="5" t="s">
        <v>1</v>
      </c>
      <c r="C10" s="17">
        <v>-1.6807401761764733</v>
      </c>
      <c r="D10" s="17">
        <f>C10-1.96*0.104808624134014</f>
        <v>-1.8861650794791407</v>
      </c>
      <c r="E10" s="18">
        <f>C10+1.96*0.104808624134014</f>
        <v>-1.4753152728738059</v>
      </c>
      <c r="F10" s="17"/>
      <c r="G10" s="22"/>
      <c r="H10" s="5" t="s">
        <v>1</v>
      </c>
      <c r="I10" s="17">
        <v>6.8121421595767034E-2</v>
      </c>
      <c r="J10" s="17">
        <f>I10-1.96*0.0312727777871614</f>
        <v>6.8267771329306934E-3</v>
      </c>
      <c r="K10" s="18">
        <f>I10+1.96*0.0312727777871614</f>
        <v>0.12941606605860337</v>
      </c>
    </row>
    <row r="11" spans="1:11" x14ac:dyDescent="0.25">
      <c r="A11" s="4"/>
      <c r="B11" s="5" t="s">
        <v>2</v>
      </c>
      <c r="C11" s="17">
        <v>-1.6583639765829643</v>
      </c>
      <c r="D11" s="17">
        <f>C11-1.96*0.259567328554748</f>
        <v>-2.1671159405502705</v>
      </c>
      <c r="E11" s="18">
        <f>C11+1.96*0.259567328554748</f>
        <v>-1.1496120126156582</v>
      </c>
      <c r="F11" s="17"/>
      <c r="G11" s="22"/>
      <c r="H11" s="5" t="s">
        <v>2</v>
      </c>
      <c r="I11" s="17">
        <v>5.1062375755636977E-2</v>
      </c>
      <c r="J11" s="17">
        <f>I11-1.96*0.0387425713381838</f>
        <v>-2.4873064067203257E-2</v>
      </c>
      <c r="K11" s="18">
        <f>I11+1.96*0.0387425713381838</f>
        <v>0.12699781557847722</v>
      </c>
    </row>
    <row r="12" spans="1:11" x14ac:dyDescent="0.25">
      <c r="A12" s="4"/>
      <c r="B12" s="5" t="s">
        <v>3</v>
      </c>
      <c r="C12" s="17">
        <v>-1.1362689954192724</v>
      </c>
      <c r="D12" s="17">
        <f>C12-1.96*0.169395602954829</f>
        <v>-1.4682843772107372</v>
      </c>
      <c r="E12" s="18">
        <f>C12+1.96*0.169395602954829</f>
        <v>-0.80425361362780756</v>
      </c>
      <c r="F12" s="17"/>
      <c r="G12" s="22"/>
      <c r="H12" s="5" t="s">
        <v>3</v>
      </c>
      <c r="I12" s="17">
        <v>2.6300538132078569E-2</v>
      </c>
      <c r="J12" s="17">
        <f>I12-1.96*0.025001118022111</f>
        <v>-2.270165319125899E-2</v>
      </c>
      <c r="K12" s="18">
        <f>I12+1.96*0.025001118022111</f>
        <v>7.5302729455416134E-2</v>
      </c>
    </row>
    <row r="13" spans="1:11" x14ac:dyDescent="0.25">
      <c r="A13" s="4"/>
      <c r="B13" s="5" t="s">
        <v>4</v>
      </c>
      <c r="C13" s="17">
        <v>-1.4001473703893499</v>
      </c>
      <c r="D13" s="17">
        <f>C13-1.96*0.197655497875191</f>
        <v>-1.7875521462247241</v>
      </c>
      <c r="E13" s="18">
        <f>C13+1.96*0.197655497875191</f>
        <v>-1.0127425945539756</v>
      </c>
      <c r="F13" s="17"/>
      <c r="G13" s="22"/>
      <c r="H13" s="5" t="s">
        <v>4</v>
      </c>
      <c r="I13" s="17">
        <v>5.6018915673225561E-2</v>
      </c>
      <c r="J13" s="17">
        <f>I13-1.96*0.026923684813132</f>
        <v>3.2484934394868409E-3</v>
      </c>
      <c r="K13" s="18">
        <f>I13+1.96*0.026923684813132</f>
        <v>0.10878933790696428</v>
      </c>
    </row>
    <row r="14" spans="1:11" x14ac:dyDescent="0.25">
      <c r="A14" s="4"/>
      <c r="B14" s="5" t="s">
        <v>5</v>
      </c>
      <c r="C14" s="17">
        <v>-1.254056622147238</v>
      </c>
      <c r="D14" s="17">
        <f>C14-1.96*0.166760671186046</f>
        <v>-1.5809075376718882</v>
      </c>
      <c r="E14" s="18">
        <f>C14+1.96*0.166760671186046</f>
        <v>-0.92720570662258783</v>
      </c>
      <c r="F14" s="17"/>
      <c r="G14" s="22"/>
      <c r="H14" s="5" t="s">
        <v>5</v>
      </c>
      <c r="I14" s="17">
        <v>4.0115562624559953E-2</v>
      </c>
      <c r="J14" s="17">
        <f>I14-1.96*0.0242358354394113</f>
        <v>-7.3866748366861953E-3</v>
      </c>
      <c r="K14" s="18">
        <f>I14+1.96*0.0242358354394113</f>
        <v>8.7617800085806108E-2</v>
      </c>
    </row>
    <row r="15" spans="1:11" ht="15.75" thickBot="1" x14ac:dyDescent="0.3">
      <c r="A15" s="6"/>
      <c r="B15" s="7" t="s">
        <v>6</v>
      </c>
      <c r="C15" s="19">
        <v>-1.3946168092302955</v>
      </c>
      <c r="D15" s="19">
        <f>C15-1.96*0.195850460194343</f>
        <v>-1.7784837112112077</v>
      </c>
      <c r="E15" s="20">
        <f>C15+1.96*0.195850460194343</f>
        <v>-1.0107499072493833</v>
      </c>
      <c r="F15" s="17"/>
      <c r="G15" s="23"/>
      <c r="H15" s="7" t="s">
        <v>6</v>
      </c>
      <c r="I15" s="19">
        <v>5.9839816887078762E-2</v>
      </c>
      <c r="J15" s="19">
        <f>I15-1.96*0.0201199178395064</f>
        <v>2.0404777921646217E-2</v>
      </c>
      <c r="K15" s="20">
        <f>I15+1.96*0.0201199178395064</f>
        <v>9.9274855852511307E-2</v>
      </c>
    </row>
    <row r="16" spans="1:11" x14ac:dyDescent="0.25">
      <c r="A16" s="1" t="s">
        <v>13</v>
      </c>
      <c r="B16" s="2" t="s">
        <v>8</v>
      </c>
      <c r="C16" s="15">
        <v>0.22140993325463951</v>
      </c>
      <c r="D16" s="15">
        <f>C16-1.96*0.0399483237688065</f>
        <v>0.14311121866777876</v>
      </c>
      <c r="E16" s="16">
        <f>C16+1.96*0.0399483237688065</f>
        <v>0.29970864784150025</v>
      </c>
      <c r="F16" s="24"/>
      <c r="G16" s="22" t="s">
        <v>20</v>
      </c>
      <c r="H16" s="5" t="s">
        <v>0</v>
      </c>
      <c r="I16" s="17">
        <v>-0.21789381908421337</v>
      </c>
      <c r="J16" s="17">
        <f>I16-1.96*0.0414040674439179</f>
        <v>-0.29904579127429243</v>
      </c>
      <c r="K16" s="18">
        <f>I16+1.96*0.0414040674439179</f>
        <v>-0.13674184689413429</v>
      </c>
    </row>
    <row r="17" spans="1:11" x14ac:dyDescent="0.25">
      <c r="A17" s="4"/>
      <c r="B17" s="5" t="s">
        <v>1</v>
      </c>
      <c r="C17" s="17">
        <v>0.28222610886172428</v>
      </c>
      <c r="D17" s="17">
        <f>C17-1.96*0.0377908683973608</f>
        <v>0.20815600680289709</v>
      </c>
      <c r="E17" s="18">
        <f>C17+1.96*0.0377908683973608</f>
        <v>0.35629621092055147</v>
      </c>
      <c r="F17" s="24"/>
      <c r="G17" s="22"/>
      <c r="H17" s="5" t="s">
        <v>1</v>
      </c>
      <c r="I17" s="17">
        <v>-0.24181023879989211</v>
      </c>
      <c r="J17" s="17">
        <f>I17-1.96*0.0536298162923356</f>
        <v>-0.34692467873286986</v>
      </c>
      <c r="K17" s="18">
        <f>I17+1.96*0.0536298162923356</f>
        <v>-0.13669579886691435</v>
      </c>
    </row>
    <row r="18" spans="1:11" x14ac:dyDescent="0.25">
      <c r="A18" s="4"/>
      <c r="B18" s="5" t="s">
        <v>2</v>
      </c>
      <c r="C18" s="17">
        <v>0.27493651501114752</v>
      </c>
      <c r="D18" s="17">
        <f>C18-1.96*0.0606713520488457</f>
        <v>0.15602066499540995</v>
      </c>
      <c r="E18" s="18">
        <f>C18+1.96*0.0606713520488457</f>
        <v>0.39385236502688509</v>
      </c>
      <c r="F18" s="24"/>
      <c r="G18" s="22"/>
      <c r="H18" s="5" t="s">
        <v>2</v>
      </c>
      <c r="I18" s="17">
        <v>-0.25413397540207355</v>
      </c>
      <c r="J18" s="17">
        <f>I18-1.96*0.06272755588752</f>
        <v>-0.37707998494161277</v>
      </c>
      <c r="K18" s="18">
        <f>I18+1.96*0.06272755588752</f>
        <v>-0.13118796586253434</v>
      </c>
    </row>
    <row r="19" spans="1:11" x14ac:dyDescent="0.25">
      <c r="A19" s="4"/>
      <c r="B19" s="5" t="s">
        <v>3</v>
      </c>
      <c r="C19" s="17">
        <v>0.15467793989100037</v>
      </c>
      <c r="D19" s="17">
        <f>C19-1.96*0.0396670084087161</f>
        <v>7.6930603409916823E-2</v>
      </c>
      <c r="E19" s="18">
        <f>C19+1.96*0.0396670084087161</f>
        <v>0.23242527637208393</v>
      </c>
      <c r="F19" s="24"/>
      <c r="G19" s="22"/>
      <c r="H19" s="5" t="s">
        <v>3</v>
      </c>
      <c r="I19" s="17">
        <v>-0.17229310868482889</v>
      </c>
      <c r="J19" s="17">
        <f>I19-1.96*0.0469763961609369</f>
        <v>-0.26436684516026521</v>
      </c>
      <c r="K19" s="18">
        <f>I19+1.96*0.0469763961609369</f>
        <v>-8.021937220939257E-2</v>
      </c>
    </row>
    <row r="20" spans="1:11" x14ac:dyDescent="0.25">
      <c r="A20" s="4"/>
      <c r="B20" s="5" t="s">
        <v>4</v>
      </c>
      <c r="C20" s="17">
        <v>0.22182640796309591</v>
      </c>
      <c r="D20" s="17">
        <f>C20-1.96*0.0446268120512429</f>
        <v>0.13435785634265984</v>
      </c>
      <c r="E20" s="18">
        <f>C20+1.96*0.0446268120512429</f>
        <v>0.30929495958353198</v>
      </c>
      <c r="F20" s="24"/>
      <c r="G20" s="22"/>
      <c r="H20" s="5" t="s">
        <v>4</v>
      </c>
      <c r="I20" s="17">
        <v>-0.2191315920329075</v>
      </c>
      <c r="J20" s="17">
        <f>I20-1.96*0.0466584283245468</f>
        <v>-0.31058211154901921</v>
      </c>
      <c r="K20" s="18">
        <f>I20+1.96*0.0466584283245468</f>
        <v>-0.12768107251679578</v>
      </c>
    </row>
    <row r="21" spans="1:11" x14ac:dyDescent="0.25">
      <c r="A21" s="4"/>
      <c r="B21" s="5" t="s">
        <v>5</v>
      </c>
      <c r="C21" s="17">
        <v>0.18012789623063441</v>
      </c>
      <c r="D21" s="17">
        <f>C21-1.96*0.0339763156634827</f>
        <v>0.11353431753020832</v>
      </c>
      <c r="E21" s="18">
        <f>C21+1.96*0.0339763156634827</f>
        <v>0.2467214749310605</v>
      </c>
      <c r="F21" s="24"/>
      <c r="G21" s="22"/>
      <c r="H21" s="5" t="s">
        <v>5</v>
      </c>
      <c r="I21" s="17">
        <v>-0.1762916180728572</v>
      </c>
      <c r="J21" s="17">
        <f>I21-1.96*0.0227066663372678</f>
        <v>-0.2207966840939021</v>
      </c>
      <c r="K21" s="18">
        <f>I21+1.96*0.0227066663372678</f>
        <v>-0.13178655205181231</v>
      </c>
    </row>
    <row r="22" spans="1:11" ht="15.75" thickBot="1" x14ac:dyDescent="0.3">
      <c r="A22" s="6"/>
      <c r="B22" s="7" t="s">
        <v>6</v>
      </c>
      <c r="C22" s="19">
        <v>0.22164496416222204</v>
      </c>
      <c r="D22" s="19">
        <f>C22-1.96*0.0446829240722094</f>
        <v>0.13406643298069162</v>
      </c>
      <c r="E22" s="20">
        <f>C22+1.96*0.0446829240722094</f>
        <v>0.30922349534375249</v>
      </c>
      <c r="F22" s="24"/>
      <c r="G22" s="23"/>
      <c r="H22" s="7" t="s">
        <v>6</v>
      </c>
      <c r="I22" s="19">
        <v>-0.22267677154030568</v>
      </c>
      <c r="J22" s="19">
        <f>I22-1.96*0.041926060473556</f>
        <v>-0.30485185006847543</v>
      </c>
      <c r="K22" s="20">
        <f>I22+1.96*0.041926060473556</f>
        <v>-0.14050169301213594</v>
      </c>
    </row>
    <row r="23" spans="1:11" x14ac:dyDescent="0.25">
      <c r="A23" s="9" t="s">
        <v>14</v>
      </c>
      <c r="B23" s="2" t="s">
        <v>0</v>
      </c>
      <c r="C23" s="15">
        <v>0.24660765941256563</v>
      </c>
      <c r="D23" s="15">
        <f>C23-1.96*0.0394866108167197</f>
        <v>0.16921390221179503</v>
      </c>
      <c r="E23" s="16">
        <f>C23+1.96*0.0394866108167197</f>
        <v>0.32400141661333626</v>
      </c>
      <c r="F23" s="17"/>
      <c r="G23" s="1" t="s">
        <v>21</v>
      </c>
      <c r="H23" s="2" t="s">
        <v>0</v>
      </c>
      <c r="I23" s="15">
        <v>0.28855257186456928</v>
      </c>
      <c r="J23" s="15">
        <f>I23-1.96*0.0374362232584902</f>
        <v>0.2151775742779285</v>
      </c>
      <c r="K23" s="16">
        <f>I23+1.96*0.0374362232584902</f>
        <v>0.36192756945121007</v>
      </c>
    </row>
    <row r="24" spans="1:11" x14ac:dyDescent="0.25">
      <c r="A24" s="10"/>
      <c r="B24" s="5" t="s">
        <v>1</v>
      </c>
      <c r="C24" s="17">
        <v>0.27663749047613651</v>
      </c>
      <c r="D24" s="17">
        <f>C24-1.96*0.049910534303485</f>
        <v>0.17881284324130592</v>
      </c>
      <c r="E24" s="18">
        <f>C24+1.96*0.049910534303485</f>
        <v>0.37446213771096709</v>
      </c>
      <c r="F24" s="17"/>
      <c r="G24" s="4"/>
      <c r="H24" s="5" t="s">
        <v>1</v>
      </c>
      <c r="I24" s="17">
        <v>0.32557954992772131</v>
      </c>
      <c r="J24" s="17">
        <f>I24-1.96*0.0403323557420367</f>
        <v>0.24652813267332938</v>
      </c>
      <c r="K24" s="18">
        <f>I24+1.96*0.0403323557420367</f>
        <v>0.40463096718211322</v>
      </c>
    </row>
    <row r="25" spans="1:11" x14ac:dyDescent="0.25">
      <c r="A25" s="10"/>
      <c r="B25" s="5" t="s">
        <v>2</v>
      </c>
      <c r="C25" s="17">
        <v>0.28283726897943673</v>
      </c>
      <c r="D25" s="17">
        <f>C25-1.96*0.0620695257442277</f>
        <v>0.16118099852075043</v>
      </c>
      <c r="E25" s="18">
        <f>C25+1.96*0.0620695257442277</f>
        <v>0.40449353943812305</v>
      </c>
      <c r="F25" s="17"/>
      <c r="G25" s="4"/>
      <c r="H25" s="5" t="s">
        <v>2</v>
      </c>
      <c r="I25" s="17">
        <v>0.31249957808417894</v>
      </c>
      <c r="J25" s="17">
        <f>I25-1.96*0.061321631776888</f>
        <v>0.19230917980147846</v>
      </c>
      <c r="K25" s="18">
        <f>I25+1.96*0.061321631776888</f>
        <v>0.43268997636687945</v>
      </c>
    </row>
    <row r="26" spans="1:11" x14ac:dyDescent="0.25">
      <c r="A26" s="10"/>
      <c r="B26" s="5" t="s">
        <v>3</v>
      </c>
      <c r="C26" s="17">
        <v>0.22431520803782024</v>
      </c>
      <c r="D26" s="17">
        <f>C26-1.96*0.0525033010657493</f>
        <v>0.12140873794895161</v>
      </c>
      <c r="E26" s="18">
        <f>C26+1.96*0.0525033010657493</f>
        <v>0.32722167812668884</v>
      </c>
      <c r="F26" s="17"/>
      <c r="G26" s="4"/>
      <c r="H26" s="5" t="s">
        <v>3</v>
      </c>
      <c r="I26" s="17">
        <v>0.22618494157874655</v>
      </c>
      <c r="J26" s="17">
        <f>I26-1.96*0.0325977159876931</f>
        <v>0.16229341824286808</v>
      </c>
      <c r="K26" s="18">
        <f>I26+1.96*0.0325977159876931</f>
        <v>0.29007646491462502</v>
      </c>
    </row>
    <row r="27" spans="1:11" x14ac:dyDescent="0.25">
      <c r="A27" s="10"/>
      <c r="B27" s="5" t="s">
        <v>4</v>
      </c>
      <c r="C27" s="17">
        <v>0.24633914912842206</v>
      </c>
      <c r="D27" s="17">
        <f>C27-1.96*0.0395551098603319</f>
        <v>0.16881113380217155</v>
      </c>
      <c r="E27" s="18">
        <f>C27+1.96*0.0395551098603319</f>
        <v>0.32386716445467256</v>
      </c>
      <c r="F27" s="17"/>
      <c r="G27" s="4"/>
      <c r="H27" s="5" t="s">
        <v>4</v>
      </c>
      <c r="I27" s="17">
        <v>0.28921994752137981</v>
      </c>
      <c r="J27" s="17">
        <f>I27-1.96*0.0418063524561622</f>
        <v>0.20727949670730189</v>
      </c>
      <c r="K27" s="18">
        <f>I27+1.96*0.0418063524561622</f>
        <v>0.37116039833545772</v>
      </c>
    </row>
    <row r="28" spans="1:11" x14ac:dyDescent="0.25">
      <c r="A28" s="10"/>
      <c r="B28" s="5" t="s">
        <v>5</v>
      </c>
      <c r="C28" s="17">
        <v>0.23178300664381848</v>
      </c>
      <c r="D28" s="17">
        <f>C28-1.96*0.0448730798893652</f>
        <v>0.14383177006066269</v>
      </c>
      <c r="E28" s="18">
        <f>C28+1.96*0.0448730798893652</f>
        <v>0.3197342432269743</v>
      </c>
      <c r="F28" s="17"/>
      <c r="G28" s="4"/>
      <c r="H28" s="5" t="s">
        <v>5</v>
      </c>
      <c r="I28" s="17">
        <v>0.25482595805927283</v>
      </c>
      <c r="J28" s="17">
        <f>I28-1.96*0.031841529548776</f>
        <v>0.19241656014367187</v>
      </c>
      <c r="K28" s="18">
        <f>I28+1.96*0.031841529548776</f>
        <v>0.31723535597487379</v>
      </c>
    </row>
    <row r="29" spans="1:11" ht="15.75" thickBot="1" x14ac:dyDescent="0.3">
      <c r="A29" s="11"/>
      <c r="B29" s="7" t="s">
        <v>6</v>
      </c>
      <c r="C29" s="19">
        <v>0.24491022426710443</v>
      </c>
      <c r="D29" s="19">
        <f>C29-1.96*0.0395464826918945</f>
        <v>0.16739911819099121</v>
      </c>
      <c r="E29" s="20">
        <f>C29+1.96*0.0395464826918945</f>
        <v>0.32242133034321763</v>
      </c>
      <c r="F29" s="17"/>
      <c r="G29" s="6"/>
      <c r="H29" s="7" t="s">
        <v>6</v>
      </c>
      <c r="I29" s="19">
        <v>0.29214139384666871</v>
      </c>
      <c r="J29" s="19">
        <f>I28-1.96*0.0375258748727092</f>
        <v>0.1812752433087628</v>
      </c>
      <c r="K29" s="20">
        <f>I29+1.96*0.0375258748727092</f>
        <v>0.36569210859717871</v>
      </c>
    </row>
    <row r="30" spans="1:11" x14ac:dyDescent="0.25">
      <c r="A30" s="1" t="s">
        <v>15</v>
      </c>
      <c r="B30" s="2" t="s">
        <v>0</v>
      </c>
      <c r="C30" s="15">
        <v>0.15253481270245439</v>
      </c>
      <c r="D30" s="15">
        <f>C30-1.96*0.0370687388885191</f>
        <v>7.9880084480956959E-2</v>
      </c>
      <c r="E30" s="16">
        <f>C30+1.96*0.0370687388885191</f>
        <v>0.22518954092395183</v>
      </c>
      <c r="F30" s="24"/>
      <c r="G30" s="4" t="s">
        <v>22</v>
      </c>
      <c r="H30" s="5" t="s">
        <v>0</v>
      </c>
      <c r="I30" s="17">
        <v>-0.14700539021336048</v>
      </c>
      <c r="J30" s="17">
        <f>I30-1.96*0.035645956116669</f>
        <v>-0.21687146420203174</v>
      </c>
      <c r="K30" s="18">
        <f>I30+1.96*0.035645956116669</f>
        <v>-7.7139316224689239E-2</v>
      </c>
    </row>
    <row r="31" spans="1:11" x14ac:dyDescent="0.25">
      <c r="A31" s="4"/>
      <c r="B31" s="5" t="s">
        <v>1</v>
      </c>
      <c r="C31" s="17">
        <v>0.13787416178828812</v>
      </c>
      <c r="D31" s="17">
        <f>C31-1.96*0.0463443429907839</f>
        <v>4.7039249526351676E-2</v>
      </c>
      <c r="E31" s="18">
        <f>C31+1.96*0.0463443429907839</f>
        <v>0.22870907405022456</v>
      </c>
      <c r="F31" s="24"/>
      <c r="G31" s="4"/>
      <c r="H31" s="5" t="s">
        <v>1</v>
      </c>
      <c r="I31" s="17">
        <v>-0.15898328583899221</v>
      </c>
      <c r="J31" s="17">
        <f>I31-1.96*0.0482408320790517</f>
        <v>-0.25353531671393353</v>
      </c>
      <c r="K31" s="18">
        <f>I31+1.96*0.0482408320790517</f>
        <v>-6.4431254964050874E-2</v>
      </c>
    </row>
    <row r="32" spans="1:11" x14ac:dyDescent="0.25">
      <c r="A32" s="4"/>
      <c r="B32" s="5" t="s">
        <v>2</v>
      </c>
      <c r="C32" s="17">
        <v>9.9187615182991712E-2</v>
      </c>
      <c r="D32" s="17">
        <f>C32-1.96*0.0569981271963665</f>
        <v>-1.2528714121886636E-2</v>
      </c>
      <c r="E32" s="18">
        <f>C32+1.96*0.0569981271963665</f>
        <v>0.21090394448787006</v>
      </c>
      <c r="F32" s="24"/>
      <c r="G32" s="4"/>
      <c r="H32" s="5" t="s">
        <v>2</v>
      </c>
      <c r="I32" s="17">
        <v>-0.18571627670466487</v>
      </c>
      <c r="J32" s="17">
        <f>I32-1.96*0.0517063600296086</f>
        <v>-0.28706074236269774</v>
      </c>
      <c r="K32" s="18">
        <f>I32+1.96*0.0517063600296086</f>
        <v>-8.4371811046632009E-2</v>
      </c>
    </row>
    <row r="33" spans="1:11" x14ac:dyDescent="0.25">
      <c r="A33" s="4"/>
      <c r="B33" s="5" t="s">
        <v>3</v>
      </c>
      <c r="C33" s="17">
        <v>0.15027520201066386</v>
      </c>
      <c r="D33" s="17">
        <f>C33-1.96*0.0497786842410202</f>
        <v>5.2708980898264271E-2</v>
      </c>
      <c r="E33" s="18">
        <f>C33+1.96*0.0497786842410202</f>
        <v>0.24784142312306345</v>
      </c>
      <c r="F33" s="24"/>
      <c r="G33" s="4"/>
      <c r="H33" s="5" t="s">
        <v>3</v>
      </c>
      <c r="I33" s="17">
        <v>-0.11685479346526213</v>
      </c>
      <c r="J33" s="17">
        <f>I33-1.96*0.0451210555822801</f>
        <v>-0.20529206240653114</v>
      </c>
      <c r="K33" s="18">
        <f>I33+1.96*0.0451210555822801</f>
        <v>-2.841752452399314E-2</v>
      </c>
    </row>
    <row r="34" spans="1:11" x14ac:dyDescent="0.25">
      <c r="A34" s="4"/>
      <c r="B34" s="5" t="s">
        <v>4</v>
      </c>
      <c r="C34" s="17">
        <v>0.15291894546552851</v>
      </c>
      <c r="D34" s="17">
        <f>C34-1.96*0.0370990102709297</f>
        <v>8.0204885334506301E-2</v>
      </c>
      <c r="E34" s="18">
        <f>C34+1.96*0.0370990102709297</f>
        <v>0.2256330055965507</v>
      </c>
      <c r="F34" s="24"/>
      <c r="G34" s="4"/>
      <c r="H34" s="5" t="s">
        <v>4</v>
      </c>
      <c r="I34" s="17">
        <v>-0.14706892076694536</v>
      </c>
      <c r="J34" s="17">
        <f>I34-1.96*0.0403376099767356</f>
        <v>-0.22613063632134711</v>
      </c>
      <c r="K34" s="18">
        <f>I34+1.96*0.0403376099767356</f>
        <v>-6.8007205212543595E-2</v>
      </c>
    </row>
    <row r="35" spans="1:11" x14ac:dyDescent="0.25">
      <c r="A35" s="4"/>
      <c r="B35" s="5" t="s">
        <v>5</v>
      </c>
      <c r="C35" s="17">
        <v>0.17597086457732494</v>
      </c>
      <c r="D35" s="17">
        <f>C35-1.96*0.0425619391457995</f>
        <v>9.2549463851557934E-2</v>
      </c>
      <c r="E35" s="18">
        <f>C35+1.96*0.0425619391457995</f>
        <v>0.25939226530309195</v>
      </c>
      <c r="F35" s="24"/>
      <c r="G35" s="4"/>
      <c r="H35" s="5" t="s">
        <v>5</v>
      </c>
      <c r="I35" s="17">
        <v>-0.112269946678404</v>
      </c>
      <c r="J35" s="17">
        <f>I35-1.96*0.0214543032453771</f>
        <v>-0.15432038103934312</v>
      </c>
      <c r="K35" s="18">
        <f>I35+1.96*0.0214543032453771</f>
        <v>-7.0219512317464872E-2</v>
      </c>
    </row>
    <row r="36" spans="1:11" ht="15.75" thickBot="1" x14ac:dyDescent="0.3">
      <c r="A36" s="6"/>
      <c r="B36" s="7" t="s">
        <v>6</v>
      </c>
      <c r="C36" s="19">
        <v>0.1547665504726187</v>
      </c>
      <c r="D36" s="19">
        <f>C36-1.96*0.0371920955571659</f>
        <v>8.1870043180573532E-2</v>
      </c>
      <c r="E36" s="20">
        <f>C36+1.96*0.0371920955571659</f>
        <v>0.22766305776466386</v>
      </c>
      <c r="F36" s="24"/>
      <c r="G36" s="6"/>
      <c r="H36" s="7" t="s">
        <v>6</v>
      </c>
      <c r="I36" s="19">
        <v>-0.15155102172558954</v>
      </c>
      <c r="J36" s="19">
        <f>I36-1.96*0.035172600858692</f>
        <v>-0.22048931940862587</v>
      </c>
      <c r="K36" s="20">
        <f>I36+1.96*0.035172600858692</f>
        <v>-8.2612724042553223E-2</v>
      </c>
    </row>
    <row r="37" spans="1:11" x14ac:dyDescent="0.25">
      <c r="A37" s="1" t="s">
        <v>16</v>
      </c>
      <c r="B37" s="2" t="s">
        <v>0</v>
      </c>
      <c r="C37" s="15">
        <v>1.45034658338371E-2</v>
      </c>
      <c r="D37" s="15">
        <f>C37-1.96*0.0047401078639082</f>
        <v>5.2128544205770292E-3</v>
      </c>
      <c r="E37" s="16">
        <f>C37+1.96*0.0047401078639082</f>
        <v>2.3794077247097173E-2</v>
      </c>
      <c r="F37" s="17"/>
      <c r="G37" s="1" t="s">
        <v>23</v>
      </c>
      <c r="H37" s="2" t="s">
        <v>0</v>
      </c>
      <c r="I37" s="15">
        <v>0.11899527156926573</v>
      </c>
      <c r="J37" s="15">
        <f>I37-1.96*0.0283716098398946</f>
        <v>6.3386916283072317E-2</v>
      </c>
      <c r="K37" s="16">
        <f>I37+1.96*0.0283716098398946</f>
        <v>0.17460362685545916</v>
      </c>
    </row>
    <row r="38" spans="1:11" x14ac:dyDescent="0.25">
      <c r="A38" s="4"/>
      <c r="B38" s="5" t="s">
        <v>1</v>
      </c>
      <c r="C38" s="17">
        <v>1.9360019488255727E-2</v>
      </c>
      <c r="D38" s="17">
        <f>C38-1.96*0.00600223764622392</f>
        <v>7.5956337016568429E-3</v>
      </c>
      <c r="E38" s="18">
        <f>C38+1.96*0.00600223764622392</f>
        <v>3.1124405274854612E-2</v>
      </c>
      <c r="F38" s="17"/>
      <c r="G38" s="4"/>
      <c r="H38" s="5" t="s">
        <v>1</v>
      </c>
      <c r="I38" s="17">
        <v>0.13658726999796211</v>
      </c>
      <c r="J38" s="17">
        <f>I38-1.96*0.0363504626509977</f>
        <v>6.5340363202006618E-2</v>
      </c>
      <c r="K38" s="18">
        <f>I38+1.96*0.0363504626509977</f>
        <v>0.20783417679391761</v>
      </c>
    </row>
    <row r="39" spans="1:11" x14ac:dyDescent="0.25">
      <c r="A39" s="4"/>
      <c r="B39" s="5" t="s">
        <v>2</v>
      </c>
      <c r="C39" s="17">
        <v>2.1051036687392576E-2</v>
      </c>
      <c r="D39" s="17">
        <f>C39-1.96*0.0073806273718123</f>
        <v>6.5850070386404662E-3</v>
      </c>
      <c r="E39" s="18">
        <f>C39+1.96*0.0073806273718123</f>
        <v>3.5517066336144681E-2</v>
      </c>
      <c r="F39" s="17"/>
      <c r="G39" s="4"/>
      <c r="H39" s="5" t="s">
        <v>2</v>
      </c>
      <c r="I39" s="17">
        <v>0.12061735631547306</v>
      </c>
      <c r="J39" s="17">
        <f>I39-1.96*0.0463057039300788</f>
        <v>2.9858176612518605E-2</v>
      </c>
      <c r="K39" s="18">
        <f>I39+1.96*0.0463057039300788</f>
        <v>0.21137653601842751</v>
      </c>
    </row>
    <row r="40" spans="1:11" x14ac:dyDescent="0.25">
      <c r="A40" s="4"/>
      <c r="B40" s="5" t="s">
        <v>3</v>
      </c>
      <c r="C40" s="17">
        <v>1.0632309428418755E-2</v>
      </c>
      <c r="D40" s="17">
        <f>C40-1.96*0.00626562666702888</f>
        <v>-1.6483188389578487E-3</v>
      </c>
      <c r="E40" s="18">
        <f>C40+1.96*0.00626562666702888</f>
        <v>2.291293769579536E-2</v>
      </c>
      <c r="F40" s="17"/>
      <c r="G40" s="4"/>
      <c r="H40" s="5" t="s">
        <v>3</v>
      </c>
      <c r="I40" s="17">
        <v>8.1838535263796502E-2</v>
      </c>
      <c r="J40" s="17">
        <f>I40-1.96*0.0281578507223637</f>
        <v>2.6649147847963649E-2</v>
      </c>
      <c r="K40" s="18">
        <f>I40+1.96*0.0281578507223637</f>
        <v>0.13702792267962935</v>
      </c>
    </row>
    <row r="41" spans="1:11" x14ac:dyDescent="0.25">
      <c r="A41" s="4"/>
      <c r="B41" s="5" t="s">
        <v>4</v>
      </c>
      <c r="C41" s="17">
        <v>1.4165643121438486E-2</v>
      </c>
      <c r="D41" s="17">
        <f>C41-1.96*0.00474998934503187</f>
        <v>4.8556640051760219E-3</v>
      </c>
      <c r="E41" s="18">
        <f>C41+1.96*0.00474998934503187</f>
        <v>2.3475622237700951E-2</v>
      </c>
      <c r="F41" s="17"/>
      <c r="G41" s="4"/>
      <c r="H41" s="5" t="s">
        <v>4</v>
      </c>
      <c r="I41" s="17">
        <v>0.11933429523308146</v>
      </c>
      <c r="J41" s="17">
        <f>I41-1.96*0.032054606013555</f>
        <v>5.6507267446513673E-2</v>
      </c>
      <c r="K41" s="18">
        <f>I41+1.96*0.032054606013555</f>
        <v>0.18216132301964927</v>
      </c>
    </row>
    <row r="42" spans="1:11" x14ac:dyDescent="0.25">
      <c r="A42" s="4"/>
      <c r="B42" s="5" t="s">
        <v>5</v>
      </c>
      <c r="C42" s="17">
        <v>1.1423134114756543E-2</v>
      </c>
      <c r="D42" s="17">
        <f>C42-1.96*0.00538563782521263</f>
        <v>8.6728397733978717E-4</v>
      </c>
      <c r="E42" s="18">
        <f>C42+1.96*0.00538563782521263</f>
        <v>2.1978984252173296E-2</v>
      </c>
      <c r="F42" s="17"/>
      <c r="G42" s="4"/>
      <c r="H42" s="5" t="s">
        <v>5</v>
      </c>
      <c r="I42" s="17">
        <v>9.8101148841871377E-2</v>
      </c>
      <c r="J42" s="17">
        <f>I42-1.96*0.0268403610050736</f>
        <v>4.5494041271927119E-2</v>
      </c>
      <c r="K42" s="18">
        <f>I42+1.96*0.0268403610050736</f>
        <v>0.15070825641181562</v>
      </c>
    </row>
    <row r="43" spans="1:11" ht="15.75" thickBot="1" x14ac:dyDescent="0.3">
      <c r="A43" s="6"/>
      <c r="B43" s="7" t="s">
        <v>6</v>
      </c>
      <c r="C43" s="19">
        <v>1.4610727283375412E-2</v>
      </c>
      <c r="D43" s="19">
        <f>C43-1.96*0.00474982373648036</f>
        <v>5.3010727598739073E-3</v>
      </c>
      <c r="E43" s="20">
        <f>C43+1.96*0.00474982373648036</f>
        <v>2.3920381806876917E-2</v>
      </c>
      <c r="F43" s="17"/>
      <c r="G43" s="6"/>
      <c r="H43" s="7" t="s">
        <v>6</v>
      </c>
      <c r="I43" s="19">
        <v>0.1236218927898342</v>
      </c>
      <c r="J43" s="19">
        <f>I43-1.96*0.0250053649798475</f>
        <v>7.4611377429333103E-2</v>
      </c>
      <c r="K43" s="20">
        <f>I43+1.96*0.0250053649798475</f>
        <v>0.17263240815033529</v>
      </c>
    </row>
    <row r="44" spans="1:11" x14ac:dyDescent="0.25">
      <c r="A44" s="1" t="s">
        <v>17</v>
      </c>
      <c r="B44" s="2" t="s">
        <v>0</v>
      </c>
      <c r="C44" s="15">
        <v>0.2376478397950334</v>
      </c>
      <c r="D44" s="15">
        <f>C44-1.96*0.0412347525839068</f>
        <v>0.15682772473057607</v>
      </c>
      <c r="E44" s="16">
        <f>C44+1.96*0.0412347525839068</f>
        <v>0.31846795485949075</v>
      </c>
      <c r="F44" s="24"/>
      <c r="G44" s="4" t="s">
        <v>25</v>
      </c>
      <c r="H44" s="5" t="s">
        <v>0</v>
      </c>
      <c r="I44" s="17">
        <v>2.6182555077287884E-2</v>
      </c>
      <c r="J44" s="17">
        <f>I44-1.96*0.016238004030561</f>
        <v>-5.643932822611674E-3</v>
      </c>
      <c r="K44" s="18">
        <f>I44+1.96*0.016238004030561</f>
        <v>5.8009042977187439E-2</v>
      </c>
    </row>
    <row r="45" spans="1:11" x14ac:dyDescent="0.25">
      <c r="A45" s="4"/>
      <c r="B45" s="5" t="s">
        <v>1</v>
      </c>
      <c r="C45" s="17">
        <v>0.27040717629443067</v>
      </c>
      <c r="D45" s="17">
        <f>C45-1.96*0.0522080875829789</f>
        <v>0.16807932463179204</v>
      </c>
      <c r="E45" s="18">
        <f>C45+1.96*0.0522080875829789</f>
        <v>0.37273502795706931</v>
      </c>
      <c r="F45" s="24"/>
      <c r="G45" s="4"/>
      <c r="H45" s="5" t="s">
        <v>1</v>
      </c>
      <c r="I45" s="17">
        <v>2.078553213762348E-3</v>
      </c>
      <c r="J45" s="17">
        <f>I45-1.96*0.00982020059015708</f>
        <v>-1.7169039942945528E-2</v>
      </c>
      <c r="K45" s="18">
        <f>I45+1.96*0.00982020059015708</f>
        <v>2.1326146370470225E-2</v>
      </c>
    </row>
    <row r="46" spans="1:11" x14ac:dyDescent="0.25">
      <c r="A46" s="4"/>
      <c r="B46" s="5" t="s">
        <v>2</v>
      </c>
      <c r="C46" s="17">
        <v>0.2513627110257794</v>
      </c>
      <c r="D46" s="17">
        <f>C46-1.96*0.0644544808112079</f>
        <v>0.12503192863581192</v>
      </c>
      <c r="E46" s="18">
        <f>C46+1.96*0.0644544808112079</f>
        <v>0.37769349341574687</v>
      </c>
      <c r="F46" s="24"/>
      <c r="G46" s="4"/>
      <c r="H46" s="5" t="s">
        <v>2</v>
      </c>
      <c r="I46" s="17">
        <v>9.9361432497088072E-3</v>
      </c>
      <c r="J46" s="17">
        <f>I46-1.96*0.0240942872688715</f>
        <v>-3.7288659797279328E-2</v>
      </c>
      <c r="K46" s="18">
        <f>I46+1.96*0.0240942872688715</f>
        <v>5.7160946296696949E-2</v>
      </c>
    </row>
    <row r="47" spans="1:11" x14ac:dyDescent="0.25">
      <c r="A47" s="4"/>
      <c r="B47" s="5" t="s">
        <v>3</v>
      </c>
      <c r="C47" s="17">
        <v>0.18544298078967941</v>
      </c>
      <c r="D47" s="17">
        <f>C47-1.96*0.0540658212568091</f>
        <v>7.9473971126333573E-2</v>
      </c>
      <c r="E47" s="18">
        <f>C47+1.96*0.0540658212568091</f>
        <v>0.29141199045302524</v>
      </c>
      <c r="F47" s="24"/>
      <c r="G47" s="4"/>
      <c r="H47" s="5" t="s">
        <v>3</v>
      </c>
      <c r="I47" s="17">
        <v>5.2996572480822429E-2</v>
      </c>
      <c r="J47" s="17">
        <f>I47-1.96*0.00898772714380183</f>
        <v>3.5380627278970844E-2</v>
      </c>
      <c r="K47" s="18">
        <f>I47+1.96*0.00898772714380183</f>
        <v>7.0612517682674014E-2</v>
      </c>
    </row>
    <row r="48" spans="1:11" x14ac:dyDescent="0.25">
      <c r="A48" s="4"/>
      <c r="B48" s="5" t="s">
        <v>5</v>
      </c>
      <c r="C48" s="17">
        <v>0.20356123070755411</v>
      </c>
      <c r="D48" s="17">
        <f>C48-1.96*0.0466629658763333</f>
        <v>0.11210181758994084</v>
      </c>
      <c r="E48" s="18">
        <f>C48+1.96*0.0466629658763333</f>
        <v>0.29502064382516735</v>
      </c>
      <c r="F48" s="24"/>
      <c r="G48" s="4"/>
      <c r="H48" s="5" t="s">
        <v>4</v>
      </c>
      <c r="I48" s="17">
        <v>2.65914675288852E-2</v>
      </c>
      <c r="J48" s="17">
        <f>I48-1.96*0.0183090087270237</f>
        <v>-9.2941895760812535E-3</v>
      </c>
      <c r="K48" s="18">
        <f>I48+1.96*0.0183090087270237</f>
        <v>6.2477124633851654E-2</v>
      </c>
    </row>
    <row r="49" spans="1:11" ht="15.75" thickBot="1" x14ac:dyDescent="0.3">
      <c r="A49" s="6"/>
      <c r="B49" s="7" t="s">
        <v>6</v>
      </c>
      <c r="C49" s="19">
        <v>0.2376478397950334</v>
      </c>
      <c r="D49" s="19">
        <f>C49-1.96*0.0412347525839068</f>
        <v>0.15682772473057607</v>
      </c>
      <c r="E49" s="20">
        <f>C49+1.96*0.0412347525839068</f>
        <v>0.31846795485949075</v>
      </c>
      <c r="F49" s="24"/>
      <c r="G49" s="4"/>
      <c r="H49" s="5" t="s">
        <v>5</v>
      </c>
      <c r="I49" s="17">
        <v>3.8180141567653363E-2</v>
      </c>
      <c r="J49" s="17">
        <f>I49-1.96*0.0151945292884545</f>
        <v>8.398864162282544E-3</v>
      </c>
      <c r="K49" s="18">
        <f>I49+1.96*0.0151945292884545</f>
        <v>6.7961418973024185E-2</v>
      </c>
    </row>
    <row r="50" spans="1:11" ht="15.75" thickBot="1" x14ac:dyDescent="0.3">
      <c r="G50" s="6"/>
      <c r="H50" s="7" t="s">
        <v>6</v>
      </c>
      <c r="I50" s="19">
        <v>2.5735916825060958E-2</v>
      </c>
      <c r="J50" s="19">
        <f>I50-1.96*0.0181801161111076</f>
        <v>-9.8971107527099332E-3</v>
      </c>
      <c r="K50" s="20">
        <f>I50+1.96*0.0181801161111076</f>
        <v>6.1368944402831846E-2</v>
      </c>
    </row>
    <row r="51" spans="1:11" x14ac:dyDescent="0.25">
      <c r="G51" s="1" t="s">
        <v>24</v>
      </c>
      <c r="H51" s="2" t="s">
        <v>0</v>
      </c>
      <c r="I51" s="15">
        <v>-1.842034924998193E-2</v>
      </c>
      <c r="J51" s="15">
        <f>I51-1.96*0.0203126622811032</f>
        <v>-5.8233167320944204E-2</v>
      </c>
      <c r="K51" s="16">
        <f>I51+1.96*0.0203126622811032</f>
        <v>2.1392468820980341E-2</v>
      </c>
    </row>
    <row r="52" spans="1:11" x14ac:dyDescent="0.25">
      <c r="G52" s="4"/>
      <c r="H52" s="5" t="s">
        <v>1</v>
      </c>
      <c r="I52" s="17">
        <v>-1.3740837191502505E-2</v>
      </c>
      <c r="J52" s="17">
        <f>I52-1.96*0.0278644688940695</f>
        <v>-6.8355196223878714E-2</v>
      </c>
      <c r="K52" s="18">
        <f>I52+1.96*0.0278644688940695</f>
        <v>4.0873521840873707E-2</v>
      </c>
    </row>
    <row r="53" spans="1:11" x14ac:dyDescent="0.25">
      <c r="G53" s="4"/>
      <c r="H53" s="5" t="s">
        <v>2</v>
      </c>
      <c r="I53" s="17">
        <v>-8.2747615970822624E-3</v>
      </c>
      <c r="J53" s="17">
        <f>I53-1.96*0.0324072853552561</f>
        <v>-7.179304089338423E-2</v>
      </c>
      <c r="K53" s="18">
        <f>I53+1.96*0.0324072853552561</f>
        <v>5.5243517699219702E-2</v>
      </c>
    </row>
    <row r="54" spans="1:11" x14ac:dyDescent="0.25">
      <c r="G54" s="4"/>
      <c r="H54" s="5" t="s">
        <v>3</v>
      </c>
      <c r="I54" s="17">
        <v>-2.1768612102913556E-2</v>
      </c>
      <c r="J54" s="17">
        <f>I54-1.96*0.0290446376277585</f>
        <v>-7.8696101853320211E-2</v>
      </c>
      <c r="K54" s="18">
        <f>I54+1.96*0.0290446376277585</f>
        <v>3.5158877647493106E-2</v>
      </c>
    </row>
    <row r="55" spans="1:11" x14ac:dyDescent="0.25">
      <c r="G55" s="4"/>
      <c r="H55" s="5" t="s">
        <v>4</v>
      </c>
      <c r="I55" s="17">
        <v>-1.3120485478518441E-2</v>
      </c>
      <c r="J55" s="17">
        <f>I55-1.96*0.0145954604268803</f>
        <v>-4.1727587915203826E-2</v>
      </c>
      <c r="K55" s="18">
        <f>I55+1.96*0.0145954604268803</f>
        <v>1.5486616958166947E-2</v>
      </c>
    </row>
    <row r="56" spans="1:11" x14ac:dyDescent="0.25">
      <c r="G56" s="4"/>
      <c r="H56" s="5" t="s">
        <v>5</v>
      </c>
      <c r="I56" s="17">
        <v>-2.1918807608945358E-2</v>
      </c>
      <c r="J56" s="17">
        <f>I56-1.96*0.0251034240279416</f>
        <v>-7.112151870371089E-2</v>
      </c>
      <c r="K56" s="18">
        <f>I56+1.96*0.0251034240279416</f>
        <v>2.7283903485820174E-2</v>
      </c>
    </row>
    <row r="57" spans="1:11" ht="15.75" thickBot="1" x14ac:dyDescent="0.3">
      <c r="G57" s="6"/>
      <c r="H57" s="7" t="s">
        <v>6</v>
      </c>
      <c r="I57" s="19">
        <v>-2.348713163475577E-2</v>
      </c>
      <c r="J57" s="19">
        <f>I57-1.96*0.00900371150128844</f>
        <v>-4.1134406177281112E-2</v>
      </c>
      <c r="K57" s="20">
        <f>I57+1.96*0.00900371150128844</f>
        <v>-5.8398570922304285E-3</v>
      </c>
    </row>
    <row r="58" spans="1:11" x14ac:dyDescent="0.25">
      <c r="G58" s="4" t="s">
        <v>26</v>
      </c>
      <c r="H58" s="5" t="s">
        <v>0</v>
      </c>
      <c r="I58" s="17">
        <v>2.3667687866722801E-2</v>
      </c>
      <c r="J58" s="17">
        <f>I58-1.96*0.0175213387059852</f>
        <v>-1.0674135997008189E-2</v>
      </c>
      <c r="K58" s="18">
        <f>I58+1.96*0.0175213387059852</f>
        <v>5.8009511730453794E-2</v>
      </c>
    </row>
    <row r="59" spans="1:11" x14ac:dyDescent="0.25">
      <c r="G59" s="4"/>
      <c r="H59" s="5" t="s">
        <v>1</v>
      </c>
      <c r="I59" s="17">
        <v>1.7777264780930328E-2</v>
      </c>
      <c r="J59" s="17">
        <f>I59-1.96*0.0238261225446059</f>
        <v>-2.8921935406497234E-2</v>
      </c>
      <c r="K59" s="18">
        <f>I59+1.96*0.0238261225446059</f>
        <v>6.4476464968357891E-2</v>
      </c>
    </row>
    <row r="60" spans="1:11" x14ac:dyDescent="0.25">
      <c r="G60" s="4"/>
      <c r="H60" s="5" t="s">
        <v>2</v>
      </c>
      <c r="I60" s="17">
        <v>4.6303341541837913E-2</v>
      </c>
      <c r="J60" s="17">
        <f>I60-1.96*0.0239739585382457</f>
        <v>-6.8561719312366237E-4</v>
      </c>
      <c r="K60" s="18">
        <f>I60+1.96*0.0239739585382457</f>
        <v>9.3292300276799495E-2</v>
      </c>
    </row>
    <row r="61" spans="1:11" x14ac:dyDescent="0.25">
      <c r="G61" s="4"/>
      <c r="H61" s="5" t="s">
        <v>3</v>
      </c>
      <c r="I61" s="17">
        <v>3.9647405607394187E-2</v>
      </c>
      <c r="J61" s="17">
        <f>I61-1.96*0.0216327076103617</f>
        <v>-2.7527013089147442E-3</v>
      </c>
      <c r="K61" s="18">
        <f>I61+1.96*0.0216327076103617</f>
        <v>8.2047512523703126E-2</v>
      </c>
    </row>
    <row r="62" spans="1:11" x14ac:dyDescent="0.25">
      <c r="G62" s="4"/>
      <c r="H62" s="5" t="s">
        <v>4</v>
      </c>
      <c r="I62" s="17">
        <v>1.9072521249327928E-2</v>
      </c>
      <c r="J62" s="17">
        <f>I62-1.96*0.0121318409294511</f>
        <v>-4.7058869723962289E-3</v>
      </c>
      <c r="K62" s="18">
        <f>I62+1.96*0.0121318409294511</f>
        <v>4.2850929471052082E-2</v>
      </c>
    </row>
    <row r="63" spans="1:11" x14ac:dyDescent="0.25">
      <c r="G63" s="4"/>
      <c r="H63" s="5" t="s">
        <v>5</v>
      </c>
      <c r="I63" s="17">
        <v>2.6698117109989337E-2</v>
      </c>
      <c r="J63" s="17">
        <f>I63-1.96*0.0216547984839394</f>
        <v>-1.5745287918531879E-2</v>
      </c>
      <c r="K63" s="18">
        <f>I63+1.96*0.0216547984839394</f>
        <v>6.9141522138510547E-2</v>
      </c>
    </row>
    <row r="64" spans="1:11" ht="15.75" thickBot="1" x14ac:dyDescent="0.3">
      <c r="G64" s="6"/>
      <c r="H64" s="7" t="s">
        <v>6</v>
      </c>
      <c r="I64" s="19">
        <v>2.4540338080324679E-2</v>
      </c>
      <c r="J64" s="19">
        <f>I64-1.96*0.0193820339951504</f>
        <v>-1.3448448550170106E-2</v>
      </c>
      <c r="K64" s="20">
        <f>I64+1.96*0.0193820339951504</f>
        <v>6.2529124710819464E-2</v>
      </c>
    </row>
    <row r="65" spans="7:11" x14ac:dyDescent="0.25">
      <c r="G65" s="1" t="s">
        <v>27</v>
      </c>
      <c r="H65" s="2" t="s">
        <v>0</v>
      </c>
      <c r="I65" s="15">
        <v>9.389183538960312E-2</v>
      </c>
      <c r="J65" s="15">
        <f>I65-1.96*0.0142801630520426</f>
        <v>6.5902715807599627E-2</v>
      </c>
      <c r="K65" s="16">
        <f>I65+1.96*0.0142801630520426</f>
        <v>0.12188095497160661</v>
      </c>
    </row>
    <row r="66" spans="7:11" x14ac:dyDescent="0.25">
      <c r="G66" s="4"/>
      <c r="H66" s="5" t="s">
        <v>1</v>
      </c>
      <c r="I66" s="17">
        <v>0.10796062269087897</v>
      </c>
      <c r="J66" s="17">
        <f>I66-1.96*0.0157145229286867</f>
        <v>7.7160157750653047E-2</v>
      </c>
      <c r="K66" s="18">
        <f>I66+1.96*0.0157145229286867</f>
        <v>0.1387610876311049</v>
      </c>
    </row>
    <row r="67" spans="7:11" x14ac:dyDescent="0.25">
      <c r="G67" s="4"/>
      <c r="H67" s="5" t="s">
        <v>2</v>
      </c>
      <c r="I67" s="17">
        <v>0.11472628219753267</v>
      </c>
      <c r="J67" s="17">
        <f>I67-1.96*0.0181560961835987</f>
        <v>7.9140333677679225E-2</v>
      </c>
      <c r="K67" s="18">
        <f>I67+1.96*0.0181560961835987</f>
        <v>0.15031223071738611</v>
      </c>
    </row>
    <row r="68" spans="7:11" x14ac:dyDescent="0.25">
      <c r="G68" s="4"/>
      <c r="H68" s="5" t="s">
        <v>3</v>
      </c>
      <c r="I68" s="17">
        <v>8.7398223287722565E-2</v>
      </c>
      <c r="J68" s="17">
        <f>I68-1.96*0.0197589876664314</f>
        <v>4.8670607461517024E-2</v>
      </c>
      <c r="K68" s="18">
        <f>I68+1.96*0.0197589876664314</f>
        <v>0.12612583911392811</v>
      </c>
    </row>
    <row r="69" spans="7:11" x14ac:dyDescent="0.25">
      <c r="G69" s="4"/>
      <c r="H69" s="5" t="s">
        <v>4</v>
      </c>
      <c r="I69" s="17">
        <v>8.9814095760052184E-2</v>
      </c>
      <c r="J69" s="17">
        <f>I69-1.96*0.0102099869838352</f>
        <v>6.9802521271735196E-2</v>
      </c>
      <c r="K69" s="18">
        <f>I69+1.96*0.0102099869838352</f>
        <v>0.10982567024836917</v>
      </c>
    </row>
    <row r="70" spans="7:11" x14ac:dyDescent="0.25">
      <c r="G70" s="4"/>
      <c r="H70" s="5" t="s">
        <v>5</v>
      </c>
      <c r="I70" s="17">
        <v>8.9707106635271594E-2</v>
      </c>
      <c r="J70" s="17">
        <f>I70-1.96*0.0171981294551445</f>
        <v>5.5998772903188374E-2</v>
      </c>
      <c r="K70" s="18">
        <f>I70+1.96*0.0171981294551445</f>
        <v>0.12341544036735481</v>
      </c>
    </row>
    <row r="71" spans="7:11" ht="15.75" thickBot="1" x14ac:dyDescent="0.3">
      <c r="G71" s="6"/>
      <c r="H71" s="7" t="s">
        <v>6</v>
      </c>
      <c r="I71" s="19">
        <v>9.4791233631746671E-2</v>
      </c>
      <c r="J71" s="19">
        <f>I71-1.96*0.0155941555283787</f>
        <v>6.422668879612442E-2</v>
      </c>
      <c r="K71" s="20">
        <f>I71+1.96*0.0155941555283787</f>
        <v>0.12535577846736892</v>
      </c>
    </row>
  </sheetData>
  <mergeCells count="17">
    <mergeCell ref="G58:G64"/>
    <mergeCell ref="G65:G71"/>
    <mergeCell ref="A44:A49"/>
    <mergeCell ref="G2:G8"/>
    <mergeCell ref="G9:G15"/>
    <mergeCell ref="G16:G22"/>
    <mergeCell ref="G23:G29"/>
    <mergeCell ref="G30:G36"/>
    <mergeCell ref="G37:G43"/>
    <mergeCell ref="G51:G57"/>
    <mergeCell ref="G44:G50"/>
    <mergeCell ref="A2:A8"/>
    <mergeCell ref="A9:A15"/>
    <mergeCell ref="A16:A22"/>
    <mergeCell ref="A23:A29"/>
    <mergeCell ref="A30:A36"/>
    <mergeCell ref="A37:A43"/>
  </mergeCells>
  <conditionalFormatting sqref="C2:F49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I2:K7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Alcalde-Herraiz</dc:creator>
  <cp:lastModifiedBy>Marta Alcalde-Herraiz</cp:lastModifiedBy>
  <dcterms:created xsi:type="dcterms:W3CDTF">2015-06-05T18:17:20Z</dcterms:created>
  <dcterms:modified xsi:type="dcterms:W3CDTF">2023-03-09T17:09:10Z</dcterms:modified>
</cp:coreProperties>
</file>